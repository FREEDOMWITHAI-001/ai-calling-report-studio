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BA X report" sheetId="2" r:id="rId5"/>
  </sheets>
  <definedNames/>
  <calcPr/>
  <extLst>
    <ext uri="GoogleSheetsCustomDataVersion2">
      <go:sheetsCustomData xmlns:go="http://customooxmlschemas.google.com/" r:id="rId6" roundtripDataChecksum="qDvjyWXXAAU2jicfQJEjtFpJUfJDu90t1ABzav4Iy5M="/>
    </ext>
  </extLst>
</workbook>
</file>

<file path=xl/sharedStrings.xml><?xml version="1.0" encoding="utf-8"?>
<sst xmlns="http://schemas.openxmlformats.org/spreadsheetml/2006/main" count="490" uniqueCount="96">
  <si>
    <t>COACHEASILY — WHAT AI CALLING ADDED  (CBA X · English)</t>
  </si>
  <si>
    <t>17 Jul – 14 Aug 2026 · English L0 workshop (11 AM) · base = registrants · connected = talk &gt; 15s · baseline = not connected · team numbers deleted</t>
  </si>
  <si>
    <t>COACHEASILY — CBA X (English)  ·  AI calling impact</t>
  </si>
  <si>
    <t>REVENUE WITH AI CALLING vs WITHOUT</t>
  </si>
  <si>
    <t>Program</t>
  </si>
  <si>
    <t>Revenue without AI</t>
  </si>
  <si>
    <t>Revenue with AI</t>
  </si>
  <si>
    <t>AI added</t>
  </si>
  <si>
    <t>17 Jul – 14 Aug 2026 · base = 2,624 registrants · connected = Signup/Day-of bots (talk &gt; 15s) · baseline = not connected · team deleted</t>
  </si>
  <si>
    <t>Relative uplift</t>
  </si>
  <si>
    <t>ROI</t>
  </si>
  <si>
    <t>CoachEasily — CBA X (English)</t>
  </si>
  <si>
    <t>BUSINESS IMPACT — with AI vs without</t>
  </si>
  <si>
    <t>Revenue without AI calling</t>
  </si>
  <si>
    <t>Total</t>
  </si>
  <si>
    <t>Revenue with AI calling</t>
  </si>
  <si>
    <t>AI calling added</t>
  </si>
  <si>
    <t>Method: 'with AI' = all 111 CBA X buyers among the window's registrants × ₹6,999. 'without AI' = that minus the extra AI created (connected leads 1,248 × the +3.90 pt buy-lift = 48.6 sales). ROI = AI added ÷ Signup+Day-of talk-cost (₹23,230). Base = 2,624 registrants (team deleted); connected = Signup/Day-of English bots held a conversation longer than 15s; baseline = the 1,376 registrants the bots never held a conversation with (never dialled, or dialled and not picked up). Full detail, per-bot and per-day, on the 'CBA X report' tab.</t>
  </si>
  <si>
    <t>Relative revenue increase</t>
  </si>
  <si>
    <t>Extra sales credited to AI (weighted, like-for-like)</t>
  </si>
  <si>
    <t>Sale value</t>
  </si>
  <si>
    <t>Talk-minutes × ₹5.10  (Signup+Day-of)</t>
  </si>
  <si>
    <t>ROI (return multiple)</t>
  </si>
  <si>
    <t>SHOW-UP &amp; BUYERS — by bot reached (whole window · Δ = vs not connected)</t>
  </si>
  <si>
    <t>Group</t>
  </si>
  <si>
    <t>Registrants</t>
  </si>
  <si>
    <t>Showed</t>
  </si>
  <si>
    <t>Show-up %</t>
  </si>
  <si>
    <t>Show-up Δ</t>
  </si>
  <si>
    <t>Buyers</t>
  </si>
  <si>
    <t>Buyer %</t>
  </si>
  <si>
    <t>Buyer Δ</t>
  </si>
  <si>
    <t>Signup bot (Instant Conf.)</t>
  </si>
  <si>
    <t>Day-of bot (Session Today)</t>
  </si>
  <si>
    <t>Both bots</t>
  </si>
  <si>
    <t>Not connected  (BASELINE)</t>
  </si>
  <si>
    <t>Connected leads buy at 6.33% vs 2.33% for leads the bots never got talking — a +172% relative lift (p = 0.0000), and they show up 55.3% vs 43.8% (p = 0.0000). Being reached by BOTH bots is the strongest position of all (10.40% buy rate) — the two calls compound, so the day-of bot should not be left switched off. Bot rows are INCLUSIVE and overlap (a lead reached by BOTH also appears in Signup and in Day-of), so they do not add up to the total. Show-up is matched to real attendance ('English Number Fetch') by phone/email/name → 1,293/2,624 = 49% (platform's own count 1,642/2,769 = 59%). Buyers and buy-rates are complete, straight from the sales system. Team/test numbers deleted from every dataset before counting. '—' in a Δ column means that group had zero, i.e. no signal, not '100% worse'.</t>
  </si>
  <si>
    <t>PER-CALL-DAY DETAIL  (each webinar day, by bot reached · Δ = vs that day's not-connected)</t>
  </si>
  <si>
    <t>17 Jul 2026</t>
  </si>
  <si>
    <t>Signup bot</t>
  </si>
  <si>
    <t>Day-of bot</t>
  </si>
  <si>
    <t>Not connected</t>
  </si>
  <si>
    <t>18 Jul 2026</t>
  </si>
  <si>
    <t>19 Jul 2026</t>
  </si>
  <si>
    <t>—</t>
  </si>
  <si>
    <t>20 Jul 2026</t>
  </si>
  <si>
    <t>21 Jul 2026</t>
  </si>
  <si>
    <t>22 Jul 2026</t>
  </si>
  <si>
    <t>23 Jul 2026</t>
  </si>
  <si>
    <t>24 Jul 2026</t>
  </si>
  <si>
    <t>25 Jul 2026</t>
  </si>
  <si>
    <t>26 Jul 2026</t>
  </si>
  <si>
    <t>27 Jul 2026</t>
  </si>
  <si>
    <t>28 Jul 2026</t>
  </si>
  <si>
    <t>29 Jul 2026</t>
  </si>
  <si>
    <t>30 Jul 2026</t>
  </si>
  <si>
    <t>31 Jul 2026</t>
  </si>
  <si>
    <t>01 Aug 2026</t>
  </si>
  <si>
    <t>02 Aug 2026</t>
  </si>
  <si>
    <t>03 Aug 2026</t>
  </si>
  <si>
    <t>04 Aug 2026</t>
  </si>
  <si>
    <t>05 Aug 2026</t>
  </si>
  <si>
    <t>06 Aug 2026</t>
  </si>
  <si>
    <t>07 Aug 2026</t>
  </si>
  <si>
    <t>08 Aug 2026</t>
  </si>
  <si>
    <t>09 Aug 2026</t>
  </si>
  <si>
    <t>10 Aug 2026</t>
  </si>
  <si>
    <t>11 Aug 2026</t>
  </si>
  <si>
    <t>12 Aug 2026</t>
  </si>
  <si>
    <t>13 Aug 2026</t>
  </si>
  <si>
    <t>14 Aug 2026</t>
  </si>
  <si>
    <t>METHOD, SOURCES &amp; DATA AUDIT</t>
  </si>
  <si>
    <t>Window</t>
  </si>
  <si>
    <t>17 July – 14 August 2026 (29 days) by REGISTRATION date. The call log (call-logs-2026-08-14.csv) covers the same span; sales rows taken from the same range. Days with no registrations: none.</t>
  </si>
  <si>
    <t>Sources</t>
  </si>
  <si>
    <t>Registrants 'L0 English Leads data' · sales 'L1 English - Full and lock' + 'L1 English - Balance' · attendance 'English Number Fetch' · platform daily 'English Webinar data', all in Purushottam Hambarde (PH) __ Scalex (3).xlsx. Attendee's Report Masterdata was checked and rejected — see below.</t>
  </si>
  <si>
    <t>2,780 rows in the window → 12 team/test rows and 144 repeat registrations removed → 2,624 unique people. People are matched across files by phone OR email OR name, and a person who registered twice under two different numbers is counted ONCE. Platform's own count for these days is 2,769 leads (95% reconciliation; the rest are repeats and unusable numbers).</t>
  </si>
  <si>
    <t>Connected</t>
  </si>
  <si>
    <t>Duration MORE THAN 15 seconds. Of 7,268 calls the two bots placed in the window, 1,888 connected, reaching 1,248 distinct registrants. 4,720 calls never connected at all. 6,488 of 7,268 call rows (89%) matched a window registrant; most of the rest belong to people who registered earlier.</t>
  </si>
  <si>
    <t>EVERY sale on 'L1 English - Full and lock' and 'L1 English - Balance' is counted as one FULL sale of ₹6,999 — no EMI/part-payment split. The product is priced at ₹6,999: it is paid either in one ₹6,999 payment or as a ₹999 booking lock plus a ₹6,000 balance. Amount mix of the 142 sale rows used: {'999': 28, '6000': 9, '6999': 105}. A person who locked and then paid the balance is counted ONCE. 4 rows with a zero amount (no payment taken) were left out. 1 rows dated before the person registered were dropped. 22 in-window purchase rows belong to people outside this cohort (12 registered before 17 Jul; 10 could not be traced to any English L0 registration).</t>
  </si>
  <si>
    <t>Show-up</t>
  </si>
  <si>
    <t>Per-person match against 'English Number Fetch' (3,983 attendance rows) by phone/email/name. Cross-check: it independently finds 104 of the 111 known buyers (94%), which is what you would expect since almost nobody buys without attending.</t>
  </si>
  <si>
    <t>Why the Attendee Masterdata file is NOT used</t>
  </si>
  <si>
    <t>It holds only 423 attendance rows for these 29 days against 3,983 in the full list and 1,642 show-ups on the platform's own dashboard. It matches just 7.0% of registrants and finds only 32 of the 111 known buyers, versus 104 for the full list. Using it would report a ~7% show-up rate instead of the real ~49%. It does not affect any buyer, revenue or ROI figure.</t>
  </si>
  <si>
    <t>Bot coverage</t>
  </si>
  <si>
    <t>The signup bot placed no calls on: none. The day-of bot placed no calls on: 17 Jul, 10 Aug. Registrants of the final day get their day-of call the next morning, outside this window. On days a bot did not run, its rows are omitted below rather than shown as zero.</t>
  </si>
  <si>
    <t>Team / test numbers</t>
  </si>
  <si>
    <t>18 internal and test lines (the coach's own number, the team's phones, 'Test User'-style entries) plus @freedomwithai.com and @scalex.club emails are deleted from every dataset before counting — 80 call rows and 12 registration rows.</t>
  </si>
  <si>
    <t>Baseline (what 'not connected' means)</t>
  </si>
  <si>
    <t>ONE comparison group of 1,376 people: everyone the bots never held a conversation with — 648 who were dialled but did not pick up or hung up inside 15 seconds, plus 728 who were never dialled at all. They are merged everywhere in this report, including the per-day tables. They behave similarly: 2.01% of the dialled-no-answer group buys against 2.61% of the never-dialled group. Note the direction this merge pushes: the dialled-but-no-answer group is the lowest-buying group in the whole dataset, so folding it into the baseline widens the measured gap and RAISES the ROI (it would be 13.0× against never-dialled leads alone). It also roughly doubles the size of the comparison group, which is why the result is now statistically solid (p = 0.0000) where the narrower comparison was not.</t>
  </si>
  <si>
    <t>Extra sales — the weighted calculation</t>
  </si>
  <si>
    <t>Registrants are split into 5 bands by how many days they had before the data was pulled (0-2 days, 3-6 days, 7-9 days, 10-13 days, 14+ days). Inside each band, connected leads are compared only with not-connected leads of the SAME age, and the band's gap is multiplied by that band's connected count (2.5 + 6.8 + 13.5 + 7.8 + 18.0 = 48.6 sales). That is a weighted average — every band counts in proportion to its size — so the two sides are normalised onto the same mix of lead ages instead of one mix being compared against another. Weighted gap 3.90 points vs 4.00 points unweighted, i.e. the correction is small here: the AI's advantage appears in EVERY band (2.7 to 9.2 points), so it is not an artefact of when people registered. Full table on the Overview tab. 48.6 × ₹6,999 = ₹340,260 ÷ ₹23,230 = 14.6×.</t>
  </si>
  <si>
    <t>Cost — the ₹5.10 per minute check</t>
  </si>
  <si>
    <t>Only the Signup and Day-of English bots, only calls dated inside the window, team lines removed. 7,268 calls were placed; 2,548 had someone actually on the line and the other 4,720 connected to nothing and cost nothing. Those 2,548 calls hold 181,479 seconds = 3,024.7 minutes of real talk time. Billing is PER MINUTE, so each call is rounded UP to the next whole minute before charging — with an average call of only 71 seconds that turns 3,025 real minutes into 4,555 billed minutes. 4,555 × ₹5.10 = ₹23,230 (signup ₹15,830 + day-of ₹7,400). To the exact second it would be ₹15,426; the per-minute rounding adds ₹7,805 and that dearer figure is the one used, which lowers the ROI rather than flattering it.</t>
  </si>
  <si>
    <t>THE BIG CAVEAT</t>
  </si>
  <si>
    <t>This is an OBSERVATIONAL comparison, not an experiment. Nobody was randomly left uncalled, so 'connected' people are self-selected — they answered their phone, which already marks them as more engaged. Part of their higher show-up and buy rate would have happened anyway, and no amount of arithmetic on this data can strip that out — so 14.6× is a well-founded estimate, not a proven fact, and it is more likely to be a little high than a little low. Normalising for how long each lead had to buy removes the one bias that IS measurable; this one cannot be removed without an experiment. The gaps themselves are solid (p = 0.0000 on show-up and 0.0000 on buying). What is not in doubt is the direction and that it pays: break-even is 3.3 sales and the AI is credited with 49. A hold-out test (randomly leave ~15% of registrants uncalled for one month) would settle it, and it costs nothing to run — it saves calling spend.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</si>
</sst>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0.0%"/>
    <numFmt numFmtId="166" formatCode="0.0&quot;×&quot;"/>
    <numFmt numFmtId="167" formatCode="0.0"/>
    <numFmt numFmtId="168" formatCode="\+0.0%;\-0.0%"/>
  </numFmts>
  <fonts count="9">
    <font>
      <sz val="11.0"/>
      <color theme="1"/>
      <name val="Calibri"/>
      <scheme val="minor"/>
    </font>
    <font>
      <b/>
      <sz val="15.0"/>
      <color rgb="FFFFFFFF"/>
      <name val="Calibri"/>
    </font>
    <font/>
    <font>
      <b/>
      <sz val="11.0"/>
      <color rgb="FFFFFFFF"/>
      <name val="Calibri"/>
    </font>
    <font>
      <b/>
      <sz val="12.0"/>
      <color rgb="FFFFFFFF"/>
      <name val="Calibri"/>
    </font>
    <font>
      <b/>
      <sz val="11.0"/>
      <color theme="1"/>
      <name val="Calibri"/>
    </font>
    <font>
      <color theme="1"/>
      <name val="Calibri"/>
      <scheme val="minor"/>
    </font>
    <font>
      <sz val="11.0"/>
      <color theme="1"/>
      <name val="Calibri"/>
    </font>
    <font>
      <sz val="9.0"/>
      <color theme="1"/>
      <name val="Calibri"/>
    </font>
  </fonts>
  <fills count="7">
    <fill>
      <patternFill patternType="none"/>
    </fill>
    <fill>
      <patternFill patternType="lightGray"/>
    </fill>
    <fill>
      <patternFill patternType="solid">
        <fgColor rgb="FF1F3A5F"/>
        <bgColor rgb="FF1F3A5F"/>
      </patternFill>
    </fill>
    <fill>
      <patternFill patternType="solid">
        <fgColor rgb="FF2E6DA4"/>
        <bgColor rgb="FF2E6DA4"/>
      </patternFill>
    </fill>
    <fill>
      <patternFill patternType="solid">
        <fgColor rgb="FFD9E1F2"/>
        <bgColor rgb="FFD9E1F2"/>
      </patternFill>
    </fill>
    <fill>
      <patternFill patternType="solid">
        <fgColor rgb="FFFFF2CC"/>
        <bgColor rgb="FFFFF2CC"/>
      </patternFill>
    </fill>
    <fill>
      <patternFill patternType="solid">
        <fgColor rgb="FFC6EFCE"/>
        <bgColor rgb="FFC6EFCE"/>
      </patternFill>
    </fill>
  </fills>
  <borders count="13">
    <border/>
    <border>
      <left/>
      <top/>
      <bottom/>
    </border>
    <border>
      <top/>
      <bottom/>
    </border>
    <border>
      <right/>
      <top/>
      <bottom/>
    </border>
    <border>
      <left/>
      <right/>
      <top/>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1" fillId="3" fontId="3" numFmtId="0" xfId="0" applyAlignment="1" applyBorder="1" applyFill="1" applyFont="1">
      <alignment vertical="center"/>
    </xf>
    <xf borderId="1" fillId="3" fontId="4" numFmtId="0" xfId="0" applyAlignment="1" applyBorder="1" applyFont="1">
      <alignment vertical="center"/>
    </xf>
    <xf borderId="4" fillId="4" fontId="5" numFmtId="0" xfId="0" applyAlignment="1" applyBorder="1" applyFill="1" applyFont="1">
      <alignment horizontal="left" shrinkToFit="0" wrapText="1"/>
    </xf>
    <xf borderId="4" fillId="4" fontId="5" numFmtId="0" xfId="0" applyAlignment="1" applyBorder="1" applyFont="1">
      <alignment horizontal="center" shrinkToFit="0" wrapText="1"/>
    </xf>
    <xf borderId="0" fillId="0" fontId="6" numFmtId="0" xfId="0" applyFont="1"/>
    <xf borderId="0" fillId="0" fontId="7" numFmtId="164" xfId="0" applyAlignment="1" applyFont="1" applyNumberFormat="1">
      <alignment horizontal="right"/>
    </xf>
    <xf borderId="0" fillId="0" fontId="7" numFmtId="165" xfId="0" applyAlignment="1" applyFont="1" applyNumberFormat="1">
      <alignment horizontal="right"/>
    </xf>
    <xf borderId="0" fillId="0" fontId="7" numFmtId="166" xfId="0" applyAlignment="1" applyFont="1" applyNumberFormat="1">
      <alignment horizontal="right"/>
    </xf>
    <xf borderId="0" fillId="0" fontId="7" numFmtId="0" xfId="0" applyAlignment="1" applyFont="1">
      <alignment horizontal="right"/>
    </xf>
    <xf borderId="0" fillId="0" fontId="7" numFmtId="0" xfId="0" applyFont="1"/>
    <xf borderId="4" fillId="4" fontId="5" numFmtId="0" xfId="0" applyBorder="1" applyFont="1"/>
    <xf borderId="4" fillId="4" fontId="5" numFmtId="164" xfId="0" applyAlignment="1" applyBorder="1" applyFont="1" applyNumberFormat="1">
      <alignment horizontal="right"/>
    </xf>
    <xf borderId="0" fillId="0" fontId="5" numFmtId="164" xfId="0" applyAlignment="1" applyFont="1" applyNumberFormat="1">
      <alignment horizontal="right"/>
    </xf>
    <xf borderId="4" fillId="4" fontId="5" numFmtId="165" xfId="0" applyAlignment="1" applyBorder="1" applyFont="1" applyNumberFormat="1">
      <alignment horizontal="right"/>
    </xf>
    <xf borderId="4" fillId="4" fontId="5" numFmtId="166" xfId="0" applyAlignment="1" applyBorder="1" applyFont="1" applyNumberFormat="1">
      <alignment horizontal="right"/>
    </xf>
    <xf borderId="4" fillId="4" fontId="5" numFmtId="0" xfId="0" applyAlignment="1" applyBorder="1" applyFont="1">
      <alignment horizontal="right"/>
    </xf>
    <xf borderId="1" fillId="5" fontId="5" numFmtId="0" xfId="0" applyBorder="1" applyFill="1" applyFont="1"/>
    <xf borderId="5" fillId="5" fontId="8" numFmtId="0" xfId="0" applyAlignment="1" applyBorder="1" applyFont="1">
      <alignment shrinkToFit="0" vertical="top" wrapText="1"/>
    </xf>
    <xf borderId="6" fillId="0" fontId="2" numFmtId="0" xfId="0" applyBorder="1" applyFont="1"/>
    <xf borderId="7" fillId="0" fontId="2" numFmtId="0" xfId="0" applyBorder="1" applyFont="1"/>
    <xf borderId="1" fillId="5" fontId="5" numFmtId="164" xfId="0" applyAlignment="1" applyBorder="1" applyFont="1" applyNumberFormat="1">
      <alignment horizontal="right"/>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5" numFmtId="165" xfId="0" applyAlignment="1" applyFont="1" applyNumberFormat="1">
      <alignment horizontal="right"/>
    </xf>
    <xf borderId="12" fillId="0" fontId="2" numFmtId="0" xfId="0" applyBorder="1" applyFont="1"/>
    <xf borderId="0" fillId="0" fontId="5" numFmtId="167" xfId="0" applyAlignment="1" applyFont="1" applyNumberFormat="1">
      <alignment horizontal="right"/>
    </xf>
    <xf borderId="0" fillId="0" fontId="6" numFmtId="0" xfId="0" applyAlignment="1" applyFont="1">
      <alignment readingOrder="0"/>
    </xf>
    <xf borderId="0" fillId="0" fontId="6" numFmtId="9" xfId="0" applyAlignment="1" applyFont="1" applyNumberFormat="1">
      <alignment readingOrder="0"/>
    </xf>
    <xf borderId="1" fillId="6" fontId="5" numFmtId="0" xfId="0" applyBorder="1" applyFill="1" applyFont="1"/>
    <xf borderId="1" fillId="6" fontId="5" numFmtId="166" xfId="0" applyAlignment="1" applyBorder="1" applyFont="1" applyNumberFormat="1">
      <alignment horizontal="right"/>
    </xf>
    <xf borderId="0" fillId="0" fontId="7" numFmtId="3" xfId="0" applyAlignment="1" applyFont="1" applyNumberFormat="1">
      <alignment horizontal="right"/>
    </xf>
    <xf borderId="0" fillId="0" fontId="7" numFmtId="10" xfId="0" applyAlignment="1" applyFont="1" applyNumberFormat="1">
      <alignment horizontal="right"/>
    </xf>
    <xf borderId="4" fillId="6" fontId="5" numFmtId="0" xfId="0" applyBorder="1" applyFont="1"/>
    <xf borderId="4" fillId="6" fontId="5" numFmtId="3" xfId="0" applyAlignment="1" applyBorder="1" applyFont="1" applyNumberFormat="1">
      <alignment horizontal="right"/>
    </xf>
    <xf borderId="4" fillId="6" fontId="5" numFmtId="165" xfId="0" applyAlignment="1" applyBorder="1" applyFont="1" applyNumberFormat="1">
      <alignment horizontal="right"/>
    </xf>
    <xf borderId="4" fillId="6" fontId="5" numFmtId="168" xfId="0" applyAlignment="1" applyBorder="1" applyFont="1" applyNumberFormat="1">
      <alignment horizontal="right"/>
    </xf>
    <xf borderId="4" fillId="6" fontId="5" numFmtId="10" xfId="0" applyAlignment="1" applyBorder="1" applyFont="1" applyNumberFormat="1">
      <alignment horizontal="right"/>
    </xf>
    <xf borderId="4" fillId="4" fontId="5" numFmtId="3" xfId="0" applyAlignment="1" applyBorder="1" applyFont="1" applyNumberFormat="1">
      <alignment horizontal="right"/>
    </xf>
    <xf borderId="4" fillId="4" fontId="5" numFmtId="10" xfId="0" applyAlignment="1" applyBorder="1" applyFont="1" applyNumberFormat="1">
      <alignment horizontal="right"/>
    </xf>
    <xf borderId="1" fillId="4" fontId="5" numFmtId="0" xfId="0" applyAlignment="1" applyBorder="1" applyFont="1">
      <alignment vertical="center"/>
    </xf>
    <xf borderId="0" fillId="0" fontId="7" numFmtId="168" xfId="0" applyAlignment="1" applyFont="1" applyNumberFormat="1">
      <alignment horizontal="right"/>
    </xf>
    <xf borderId="4" fillId="4" fontId="7" numFmtId="0" xfId="0" applyBorder="1" applyFont="1"/>
    <xf borderId="4" fillId="4" fontId="7" numFmtId="3" xfId="0" applyAlignment="1" applyBorder="1" applyFont="1" applyNumberFormat="1">
      <alignment horizontal="right"/>
    </xf>
    <xf borderId="4" fillId="4" fontId="7" numFmtId="165" xfId="0" applyAlignment="1" applyBorder="1" applyFont="1" applyNumberFormat="1">
      <alignment horizontal="right"/>
    </xf>
    <xf borderId="4" fillId="4" fontId="7" numFmtId="0" xfId="0" applyAlignment="1" applyBorder="1" applyFont="1">
      <alignment horizontal="right"/>
    </xf>
    <xf borderId="4" fillId="4" fontId="7" numFmtId="10" xfId="0" applyAlignment="1" applyBorder="1" applyFont="1" applyNumberFormat="1">
      <alignment horizontal="right"/>
    </xf>
    <xf borderId="0" fillId="0" fontId="5" numFmtId="0" xfId="0" applyAlignment="1" applyFont="1">
      <alignment vertical="top"/>
    </xf>
    <xf borderId="0" fillId="0" fontId="8" numFmtId="0" xfId="0" applyAlignment="1" applyFont="1">
      <alignment shrinkToFit="0" vertical="top" wrapText="1"/>
    </xf>
    <xf borderId="4" fillId="5" fontId="5"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15.0"/>
    <col customWidth="1" min="3" max="3" width="13.0"/>
    <col customWidth="1" min="4" max="4" width="15.0"/>
    <col customWidth="1" min="5" max="5" width="13.0"/>
    <col customWidth="1" min="6" max="6" width="11.0"/>
    <col customWidth="1" min="7" max="7" width="13.0"/>
    <col customWidth="1" min="8" max="26" width="8.71"/>
  </cols>
  <sheetData>
    <row r="1" ht="21.75" customHeight="1">
      <c r="A1" s="1" t="s">
        <v>0</v>
      </c>
      <c r="B1" s="2"/>
      <c r="C1" s="2"/>
      <c r="D1" s="2"/>
      <c r="E1" s="2"/>
      <c r="F1" s="2"/>
      <c r="G1" s="3"/>
    </row>
    <row r="2" ht="18.0" customHeight="1">
      <c r="A2" s="4" t="s">
        <v>1</v>
      </c>
      <c r="B2" s="2"/>
      <c r="C2" s="2"/>
      <c r="D2" s="2"/>
      <c r="E2" s="2"/>
      <c r="F2" s="2"/>
      <c r="G2" s="3"/>
    </row>
    <row r="4" ht="19.5" customHeight="1">
      <c r="A4" s="5" t="s">
        <v>3</v>
      </c>
      <c r="B4" s="2"/>
      <c r="C4" s="2"/>
      <c r="D4" s="2"/>
      <c r="E4" s="2"/>
      <c r="F4" s="2"/>
      <c r="G4" s="3"/>
    </row>
    <row r="5">
      <c r="A5" s="6" t="s">
        <v>4</v>
      </c>
      <c r="B5" s="7" t="s">
        <v>5</v>
      </c>
      <c r="C5" s="7" t="s">
        <v>6</v>
      </c>
      <c r="D5" s="7" t="s">
        <v>7</v>
      </c>
      <c r="E5" s="7" t="s">
        <v>9</v>
      </c>
      <c r="F5" s="7" t="s">
        <v>10</v>
      </c>
      <c r="G5" s="7"/>
    </row>
    <row r="6">
      <c r="A6" s="8" t="s">
        <v>11</v>
      </c>
      <c r="B6" s="9">
        <v>436629.1971724805</v>
      </c>
      <c r="C6" s="9">
        <v>776889.0</v>
      </c>
      <c r="D6" s="9">
        <v>340259.8028275195</v>
      </c>
      <c r="E6" s="10">
        <v>0.7792877916341163</v>
      </c>
      <c r="F6" s="11">
        <v>14.64711490615869</v>
      </c>
      <c r="G6" s="12"/>
    </row>
    <row r="7">
      <c r="A7" s="14" t="s">
        <v>14</v>
      </c>
      <c r="B7" s="15">
        <v>436629.1971724805</v>
      </c>
      <c r="C7" s="15">
        <v>776889.0</v>
      </c>
      <c r="D7" s="15">
        <v>340259.8028275195</v>
      </c>
      <c r="E7" s="17">
        <v>0.7792877916341163</v>
      </c>
      <c r="F7" s="18">
        <v>14.64711490615869</v>
      </c>
      <c r="G7" s="19"/>
    </row>
    <row r="9">
      <c r="A9" s="21" t="s">
        <v>17</v>
      </c>
      <c r="B9" s="22"/>
      <c r="C9" s="22"/>
      <c r="D9" s="22"/>
      <c r="E9" s="22"/>
      <c r="F9" s="22"/>
      <c r="G9" s="23"/>
    </row>
    <row r="10">
      <c r="A10" s="25"/>
      <c r="G10" s="26"/>
    </row>
    <row r="11">
      <c r="A11" s="25"/>
      <c r="G11" s="26"/>
    </row>
    <row r="12">
      <c r="A12" s="27"/>
      <c r="B12" s="28"/>
      <c r="C12" s="28"/>
      <c r="D12" s="28"/>
      <c r="E12" s="28"/>
      <c r="F12" s="28"/>
      <c r="G12" s="30"/>
    </row>
    <row r="15">
      <c r="A1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G2"/>
    <mergeCell ref="A4:G4"/>
    <mergeCell ref="A9:G12"/>
    <mergeCell ref="A15:G1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2.0"/>
    <col customWidth="1" min="3" max="3" width="11.0"/>
    <col customWidth="1" min="4" max="5" width="12.0"/>
    <col customWidth="1" min="6" max="7" width="11.0"/>
    <col customWidth="1" min="8" max="8" width="39.57"/>
    <col customWidth="1" min="9" max="26" width="8.71"/>
  </cols>
  <sheetData>
    <row r="1" ht="21.75" customHeight="1">
      <c r="A1" s="1" t="s">
        <v>2</v>
      </c>
      <c r="B1" s="2"/>
      <c r="C1" s="2"/>
      <c r="D1" s="2"/>
      <c r="E1" s="2"/>
      <c r="F1" s="2"/>
      <c r="G1" s="2"/>
      <c r="H1" s="3"/>
    </row>
    <row r="2" ht="18.0" customHeight="1">
      <c r="A2" s="4" t="s">
        <v>8</v>
      </c>
      <c r="B2" s="2"/>
      <c r="C2" s="2"/>
      <c r="D2" s="2"/>
      <c r="E2" s="2"/>
      <c r="F2" s="2"/>
      <c r="G2" s="2"/>
      <c r="H2" s="3"/>
    </row>
    <row r="4" ht="18.0" customHeight="1">
      <c r="A4" s="4" t="s">
        <v>12</v>
      </c>
      <c r="B4" s="2"/>
      <c r="C4" s="2"/>
      <c r="D4" s="2"/>
      <c r="E4" s="2"/>
      <c r="F4" s="2"/>
      <c r="G4" s="2"/>
      <c r="H4" s="3"/>
    </row>
    <row r="5">
      <c r="A5" s="13" t="s">
        <v>13</v>
      </c>
      <c r="D5" s="16">
        <v>436629.1971724805</v>
      </c>
    </row>
    <row r="6">
      <c r="A6" s="13" t="s">
        <v>15</v>
      </c>
      <c r="D6" s="16">
        <v>776889.0</v>
      </c>
    </row>
    <row r="7">
      <c r="A7" s="20" t="s">
        <v>16</v>
      </c>
      <c r="B7" s="2"/>
      <c r="C7" s="3"/>
      <c r="D7" s="24">
        <v>340259.8028275195</v>
      </c>
      <c r="E7" s="3"/>
    </row>
    <row r="8">
      <c r="A8" s="13" t="s">
        <v>18</v>
      </c>
      <c r="D8" s="29">
        <v>0.7792877916341163</v>
      </c>
    </row>
    <row r="9">
      <c r="A9" s="13" t="s">
        <v>19</v>
      </c>
      <c r="D9" s="31">
        <v>48.61548833083576</v>
      </c>
    </row>
    <row r="10">
      <c r="A10" s="13" t="s">
        <v>20</v>
      </c>
      <c r="D10" s="16">
        <v>6999.0</v>
      </c>
    </row>
    <row r="11">
      <c r="A11" s="13" t="s">
        <v>21</v>
      </c>
      <c r="D11" s="16">
        <v>23230.5</v>
      </c>
      <c r="K11" s="32">
        <v>5.0</v>
      </c>
      <c r="L11" s="32">
        <v>1.0</v>
      </c>
      <c r="M11" s="33">
        <v>0.2</v>
      </c>
      <c r="N11" s="8">
        <f t="shared" ref="N11:N13" si="1">K11*M11</f>
        <v>1</v>
      </c>
    </row>
    <row r="12">
      <c r="A12" s="34" t="s">
        <v>22</v>
      </c>
      <c r="B12" s="2"/>
      <c r="C12" s="3"/>
      <c r="D12" s="35">
        <v>14.64711490615869</v>
      </c>
      <c r="E12" s="3"/>
      <c r="K12" s="32">
        <v>50.0</v>
      </c>
      <c r="L12" s="32">
        <v>5.0</v>
      </c>
      <c r="M12" s="33">
        <v>0.1</v>
      </c>
      <c r="N12" s="8">
        <f t="shared" si="1"/>
        <v>5</v>
      </c>
    </row>
    <row r="13">
      <c r="K13" s="32">
        <v>5.0</v>
      </c>
      <c r="L13" s="32">
        <v>0.0</v>
      </c>
      <c r="M13" s="33">
        <v>-1.0</v>
      </c>
      <c r="N13" s="8">
        <f t="shared" si="1"/>
        <v>-5</v>
      </c>
    </row>
    <row r="14" ht="18.0" customHeight="1">
      <c r="A14" s="4" t="s">
        <v>23</v>
      </c>
      <c r="B14" s="2"/>
      <c r="C14" s="2"/>
      <c r="D14" s="2"/>
      <c r="E14" s="2"/>
      <c r="F14" s="2"/>
      <c r="G14" s="2"/>
      <c r="H14" s="3"/>
      <c r="N14" s="8">
        <f>SUM(N11:N13)</f>
        <v>1</v>
      </c>
    </row>
    <row r="15">
      <c r="A15" s="6" t="s">
        <v>24</v>
      </c>
      <c r="B15" s="7" t="s">
        <v>25</v>
      </c>
      <c r="C15" s="7" t="s">
        <v>26</v>
      </c>
      <c r="D15" s="7" t="s">
        <v>27</v>
      </c>
      <c r="E15" s="7" t="s">
        <v>28</v>
      </c>
      <c r="F15" s="7" t="s">
        <v>29</v>
      </c>
      <c r="G15" s="7" t="s">
        <v>30</v>
      </c>
      <c r="H15" s="7" t="s">
        <v>31</v>
      </c>
    </row>
    <row r="16">
      <c r="A16" s="8" t="s">
        <v>14</v>
      </c>
      <c r="B16" s="36">
        <v>2624.0</v>
      </c>
      <c r="C16" s="36">
        <v>1293.0</v>
      </c>
      <c r="D16" s="10">
        <v>0.4927591463414634</v>
      </c>
      <c r="E16" s="12"/>
      <c r="F16" s="36">
        <v>111.0</v>
      </c>
      <c r="G16" s="37">
        <v>0.04230182926829269</v>
      </c>
      <c r="H16" s="12"/>
    </row>
    <row r="17">
      <c r="A17" s="38" t="s">
        <v>32</v>
      </c>
      <c r="B17" s="39">
        <v>1145.0</v>
      </c>
      <c r="C17" s="39">
        <v>630.0</v>
      </c>
      <c r="D17" s="40">
        <v>0.5502183406113537</v>
      </c>
      <c r="E17" s="41">
        <v>0.2555562797366876</v>
      </c>
      <c r="F17" s="39">
        <v>75.0</v>
      </c>
      <c r="G17" s="42">
        <v>0.06550218340611354</v>
      </c>
      <c r="H17" s="41">
        <v>1.816593886462882</v>
      </c>
    </row>
    <row r="18">
      <c r="A18" s="38" t="s">
        <v>33</v>
      </c>
      <c r="B18" s="39">
        <v>507.0</v>
      </c>
      <c r="C18" s="39">
        <v>308.0</v>
      </c>
      <c r="D18" s="40">
        <v>0.6074950690335306</v>
      </c>
      <c r="E18" s="41">
        <v>0.3862574046270946</v>
      </c>
      <c r="F18" s="39">
        <v>46.0</v>
      </c>
      <c r="G18" s="42">
        <v>0.09072978303747535</v>
      </c>
      <c r="H18" s="41">
        <v>2.90138067061144</v>
      </c>
      <c r="J18" s="32">
        <v>100.0</v>
      </c>
      <c r="K18" s="32">
        <v>5.0</v>
      </c>
      <c r="L18" s="8">
        <f t="shared" ref="L18:L20" si="2">J18*K18</f>
        <v>500</v>
      </c>
    </row>
    <row r="19">
      <c r="A19" s="38" t="s">
        <v>34</v>
      </c>
      <c r="B19" s="39">
        <v>404.0</v>
      </c>
      <c r="C19" s="39">
        <v>248.0</v>
      </c>
      <c r="D19" s="40">
        <v>0.6138613861386139</v>
      </c>
      <c r="E19" s="41">
        <v>0.4007848546048635</v>
      </c>
      <c r="F19" s="39">
        <v>42.0</v>
      </c>
      <c r="G19" s="42">
        <v>0.103960396039604</v>
      </c>
      <c r="H19" s="41">
        <v>3.47029702970297</v>
      </c>
      <c r="J19" s="32">
        <v>200.0</v>
      </c>
      <c r="K19" s="32">
        <v>5.0</v>
      </c>
      <c r="L19" s="8">
        <f t="shared" si="2"/>
        <v>1000</v>
      </c>
    </row>
    <row r="20" ht="15.75" customHeight="1">
      <c r="A20" s="14" t="s">
        <v>35</v>
      </c>
      <c r="B20" s="43">
        <v>1376.0</v>
      </c>
      <c r="C20" s="43">
        <v>603.0</v>
      </c>
      <c r="D20" s="17">
        <v>0.4382267441860465</v>
      </c>
      <c r="E20" s="19"/>
      <c r="F20" s="43">
        <v>32.0</v>
      </c>
      <c r="G20" s="44">
        <v>0.02325581395348837</v>
      </c>
      <c r="H20" s="19"/>
      <c r="J20" s="32">
        <v>399.0</v>
      </c>
      <c r="K20" s="32">
        <v>5.0</v>
      </c>
      <c r="L20" s="8">
        <f t="shared" si="2"/>
        <v>1995</v>
      </c>
    </row>
    <row r="21" ht="15.75" customHeight="1">
      <c r="K21" s="8">
        <f t="shared" ref="K21:L21" si="3">SUM(K18:K20)</f>
        <v>15</v>
      </c>
      <c r="L21" s="8">
        <f t="shared" si="3"/>
        <v>3495</v>
      </c>
    </row>
    <row r="22" ht="15.75" customHeight="1">
      <c r="A22" s="21" t="s">
        <v>36</v>
      </c>
      <c r="B22" s="22"/>
      <c r="C22" s="22"/>
      <c r="D22" s="22"/>
      <c r="E22" s="22"/>
      <c r="F22" s="22"/>
      <c r="G22" s="22"/>
      <c r="H22" s="23"/>
    </row>
    <row r="23" ht="15.75" customHeight="1">
      <c r="A23" s="25"/>
      <c r="H23" s="26"/>
    </row>
    <row r="24" ht="15.75" customHeight="1">
      <c r="A24" s="25"/>
      <c r="H24" s="26"/>
    </row>
    <row r="25" ht="15.75" customHeight="1">
      <c r="A25" s="25"/>
      <c r="H25" s="26"/>
    </row>
    <row r="26" ht="15.75" customHeight="1">
      <c r="A26" s="27"/>
      <c r="B26" s="28"/>
      <c r="C26" s="28"/>
      <c r="D26" s="28"/>
      <c r="E26" s="28"/>
      <c r="F26" s="28"/>
      <c r="G26" s="28"/>
      <c r="H26" s="30"/>
    </row>
    <row r="27" ht="15.75" customHeight="1"/>
    <row r="28" ht="18.0" customHeight="1">
      <c r="A28" s="4" t="s">
        <v>37</v>
      </c>
      <c r="B28" s="2"/>
      <c r="C28" s="2"/>
      <c r="D28" s="2"/>
      <c r="E28" s="2"/>
      <c r="F28" s="2"/>
      <c r="G28" s="2"/>
      <c r="H28" s="3"/>
    </row>
    <row r="29" ht="15.75" customHeight="1">
      <c r="A29" s="45" t="s">
        <v>38</v>
      </c>
      <c r="B29" s="2"/>
      <c r="C29" s="2"/>
      <c r="D29" s="2"/>
      <c r="E29" s="2"/>
      <c r="F29" s="2"/>
      <c r="G29" s="2"/>
      <c r="H29" s="3"/>
    </row>
    <row r="30" ht="15.75" customHeight="1">
      <c r="A30" s="6" t="s">
        <v>24</v>
      </c>
      <c r="B30" s="7" t="s">
        <v>25</v>
      </c>
      <c r="C30" s="7" t="s">
        <v>26</v>
      </c>
      <c r="D30" s="7" t="s">
        <v>27</v>
      </c>
      <c r="E30" s="7" t="s">
        <v>28</v>
      </c>
      <c r="F30" s="7" t="s">
        <v>29</v>
      </c>
      <c r="G30" s="7" t="s">
        <v>30</v>
      </c>
      <c r="H30" s="7" t="s">
        <v>31</v>
      </c>
    </row>
    <row r="31" ht="15.75" customHeight="1">
      <c r="A31" s="8" t="s">
        <v>14</v>
      </c>
      <c r="B31" s="36">
        <v>76.0</v>
      </c>
      <c r="C31" s="36">
        <v>35.0</v>
      </c>
      <c r="D31" s="10">
        <v>0.4605263157894737</v>
      </c>
      <c r="E31" s="12"/>
      <c r="F31" s="36">
        <v>8.0</v>
      </c>
      <c r="G31" s="37">
        <v>0.1052631578947368</v>
      </c>
      <c r="H31" s="12"/>
    </row>
    <row r="32" ht="15.75" customHeight="1">
      <c r="A32" s="8" t="s">
        <v>39</v>
      </c>
      <c r="B32" s="36">
        <v>51.0</v>
      </c>
      <c r="C32" s="36">
        <v>23.0</v>
      </c>
      <c r="D32" s="10">
        <v>0.4509803921568628</v>
      </c>
      <c r="E32" s="46">
        <v>-0.0980392156862745</v>
      </c>
      <c r="F32" s="36">
        <v>7.0</v>
      </c>
      <c r="G32" s="37">
        <v>0.1372549019607843</v>
      </c>
      <c r="H32" s="46">
        <v>2.294117647058824</v>
      </c>
    </row>
    <row r="33" ht="15.75" customHeight="1">
      <c r="A33" s="8" t="s">
        <v>40</v>
      </c>
      <c r="B33" s="36">
        <v>22.0</v>
      </c>
      <c r="C33" s="36">
        <v>13.0</v>
      </c>
      <c r="D33" s="10">
        <v>0.5909090909090909</v>
      </c>
      <c r="E33" s="46">
        <v>0.1818181818181819</v>
      </c>
      <c r="F33" s="36">
        <v>4.0</v>
      </c>
      <c r="G33" s="37">
        <v>0.1818181818181818</v>
      </c>
      <c r="H33" s="46">
        <v>3.363636363636364</v>
      </c>
    </row>
    <row r="34" ht="15.75" customHeight="1">
      <c r="A34" s="8" t="s">
        <v>34</v>
      </c>
      <c r="B34" s="36">
        <v>21.0</v>
      </c>
      <c r="C34" s="36">
        <v>13.0</v>
      </c>
      <c r="D34" s="10">
        <v>0.6190476190476191</v>
      </c>
      <c r="E34" s="46">
        <v>0.2380952380952381</v>
      </c>
      <c r="F34" s="36">
        <v>4.0</v>
      </c>
      <c r="G34" s="37">
        <v>0.1904761904761905</v>
      </c>
      <c r="H34" s="46">
        <v>3.571428571428572</v>
      </c>
    </row>
    <row r="35" ht="15.75" customHeight="1">
      <c r="A35" s="47" t="s">
        <v>41</v>
      </c>
      <c r="B35" s="48">
        <v>24.0</v>
      </c>
      <c r="C35" s="48">
        <v>12.0</v>
      </c>
      <c r="D35" s="49">
        <v>0.5</v>
      </c>
      <c r="E35" s="50"/>
      <c r="F35" s="48">
        <v>1.0</v>
      </c>
      <c r="G35" s="51">
        <v>0.04166666666666666</v>
      </c>
      <c r="H35" s="50"/>
    </row>
    <row r="36" ht="15.75" customHeight="1"/>
    <row r="37" ht="15.75" customHeight="1">
      <c r="A37" s="45" t="s">
        <v>42</v>
      </c>
      <c r="B37" s="2"/>
      <c r="C37" s="2"/>
      <c r="D37" s="2"/>
      <c r="E37" s="2"/>
      <c r="F37" s="2"/>
      <c r="G37" s="2"/>
      <c r="H37" s="3"/>
    </row>
    <row r="38" ht="15.75" customHeight="1">
      <c r="A38" s="6" t="s">
        <v>24</v>
      </c>
      <c r="B38" s="7" t="s">
        <v>25</v>
      </c>
      <c r="C38" s="7" t="s">
        <v>26</v>
      </c>
      <c r="D38" s="7" t="s">
        <v>27</v>
      </c>
      <c r="E38" s="7" t="s">
        <v>28</v>
      </c>
      <c r="F38" s="7" t="s">
        <v>29</v>
      </c>
      <c r="G38" s="7" t="s">
        <v>30</v>
      </c>
      <c r="H38" s="7" t="s">
        <v>31</v>
      </c>
    </row>
    <row r="39" ht="15.75" customHeight="1">
      <c r="A39" s="8" t="s">
        <v>14</v>
      </c>
      <c r="B39" s="36">
        <v>70.0</v>
      </c>
      <c r="C39" s="36">
        <v>34.0</v>
      </c>
      <c r="D39" s="10">
        <v>0.4857142857142857</v>
      </c>
      <c r="E39" s="12"/>
      <c r="F39" s="36">
        <v>3.0</v>
      </c>
      <c r="G39" s="37">
        <v>0.04285714285714286</v>
      </c>
      <c r="H39" s="12"/>
    </row>
    <row r="40" ht="15.75" customHeight="1">
      <c r="A40" s="8" t="s">
        <v>39</v>
      </c>
      <c r="B40" s="36">
        <v>27.0</v>
      </c>
      <c r="C40" s="36">
        <v>13.0</v>
      </c>
      <c r="D40" s="10">
        <v>0.4814814814814815</v>
      </c>
      <c r="E40" s="46">
        <v>0.01960784313725487</v>
      </c>
      <c r="F40" s="36">
        <v>1.0</v>
      </c>
      <c r="G40" s="37">
        <v>0.03703703703703703</v>
      </c>
      <c r="H40" s="46">
        <v>-0.3333333333333333</v>
      </c>
    </row>
    <row r="41" ht="15.75" customHeight="1">
      <c r="A41" s="8" t="s">
        <v>40</v>
      </c>
      <c r="B41" s="36">
        <v>16.0</v>
      </c>
      <c r="C41" s="36">
        <v>7.0</v>
      </c>
      <c r="D41" s="10">
        <v>0.4375</v>
      </c>
      <c r="E41" s="46">
        <v>-0.07352941176470586</v>
      </c>
      <c r="F41" s="36">
        <v>1.0</v>
      </c>
      <c r="G41" s="37">
        <v>0.0625</v>
      </c>
      <c r="H41" s="46">
        <v>0.1250000000000001</v>
      </c>
    </row>
    <row r="42" ht="15.75" customHeight="1">
      <c r="A42" s="8" t="s">
        <v>34</v>
      </c>
      <c r="B42" s="36">
        <v>9.0</v>
      </c>
      <c r="C42" s="36">
        <v>3.0</v>
      </c>
      <c r="D42" s="10">
        <v>0.3333333333333333</v>
      </c>
      <c r="E42" s="46">
        <v>-0.2941176470588235</v>
      </c>
      <c r="F42" s="36">
        <v>1.0</v>
      </c>
      <c r="G42" s="37">
        <v>0.1111111111111111</v>
      </c>
      <c r="H42" s="46">
        <v>1.0</v>
      </c>
    </row>
    <row r="43" ht="15.75" customHeight="1">
      <c r="A43" s="47" t="s">
        <v>41</v>
      </c>
      <c r="B43" s="48">
        <v>36.0</v>
      </c>
      <c r="C43" s="48">
        <v>17.0</v>
      </c>
      <c r="D43" s="49">
        <v>0.4722222222222222</v>
      </c>
      <c r="E43" s="50"/>
      <c r="F43" s="48">
        <v>2.0</v>
      </c>
      <c r="G43" s="51">
        <v>0.05555555555555555</v>
      </c>
      <c r="H43" s="50"/>
    </row>
    <row r="44" ht="15.75" customHeight="1"/>
    <row r="45" ht="15.75" customHeight="1">
      <c r="A45" s="45" t="s">
        <v>43</v>
      </c>
      <c r="B45" s="2"/>
      <c r="C45" s="2"/>
      <c r="D45" s="2"/>
      <c r="E45" s="2"/>
      <c r="F45" s="2"/>
      <c r="G45" s="2"/>
      <c r="H45" s="3"/>
    </row>
    <row r="46" ht="15.75" customHeight="1">
      <c r="A46" s="6" t="s">
        <v>24</v>
      </c>
      <c r="B46" s="7" t="s">
        <v>25</v>
      </c>
      <c r="C46" s="7" t="s">
        <v>26</v>
      </c>
      <c r="D46" s="7" t="s">
        <v>27</v>
      </c>
      <c r="E46" s="7" t="s">
        <v>28</v>
      </c>
      <c r="F46" s="7" t="s">
        <v>29</v>
      </c>
      <c r="G46" s="7" t="s">
        <v>30</v>
      </c>
      <c r="H46" s="7" t="s">
        <v>31</v>
      </c>
    </row>
    <row r="47" ht="15.75" customHeight="1">
      <c r="A47" s="8" t="s">
        <v>14</v>
      </c>
      <c r="B47" s="36">
        <v>79.0</v>
      </c>
      <c r="C47" s="36">
        <v>41.0</v>
      </c>
      <c r="D47" s="10">
        <v>0.5189873417721519</v>
      </c>
      <c r="E47" s="12"/>
      <c r="F47" s="36">
        <v>3.0</v>
      </c>
      <c r="G47" s="37">
        <v>0.0379746835443038</v>
      </c>
      <c r="H47" s="12"/>
    </row>
    <row r="48" ht="15.75" customHeight="1">
      <c r="A48" s="8" t="s">
        <v>39</v>
      </c>
      <c r="B48" s="36">
        <v>21.0</v>
      </c>
      <c r="C48" s="36">
        <v>14.0</v>
      </c>
      <c r="D48" s="10">
        <v>0.6666666666666666</v>
      </c>
      <c r="E48" s="46">
        <v>0.4074074074074074</v>
      </c>
      <c r="F48" s="36">
        <v>0.0</v>
      </c>
      <c r="G48" s="37">
        <v>0.0</v>
      </c>
      <c r="H48" s="12" t="s">
        <v>44</v>
      </c>
    </row>
    <row r="49" ht="15.75" customHeight="1">
      <c r="A49" s="8" t="s">
        <v>40</v>
      </c>
      <c r="B49" s="36">
        <v>11.0</v>
      </c>
      <c r="C49" s="36">
        <v>6.0</v>
      </c>
      <c r="D49" s="10">
        <v>0.5454545454545454</v>
      </c>
      <c r="E49" s="46">
        <v>0.1515151515151515</v>
      </c>
      <c r="F49" s="36">
        <v>0.0</v>
      </c>
      <c r="G49" s="37">
        <v>0.0</v>
      </c>
      <c r="H49" s="12" t="s">
        <v>44</v>
      </c>
    </row>
    <row r="50" ht="15.75" customHeight="1">
      <c r="A50" s="8" t="s">
        <v>34</v>
      </c>
      <c r="B50" s="36">
        <v>10.0</v>
      </c>
      <c r="C50" s="36">
        <v>6.0</v>
      </c>
      <c r="D50" s="10">
        <v>0.6</v>
      </c>
      <c r="E50" s="46">
        <v>0.2666666666666667</v>
      </c>
      <c r="F50" s="36">
        <v>0.0</v>
      </c>
      <c r="G50" s="37">
        <v>0.0</v>
      </c>
      <c r="H50" s="12" t="s">
        <v>44</v>
      </c>
    </row>
    <row r="51" ht="15.75" customHeight="1">
      <c r="A51" s="47" t="s">
        <v>41</v>
      </c>
      <c r="B51" s="48">
        <v>57.0</v>
      </c>
      <c r="C51" s="48">
        <v>27.0</v>
      </c>
      <c r="D51" s="49">
        <v>0.4736842105263158</v>
      </c>
      <c r="E51" s="50"/>
      <c r="F51" s="48">
        <v>3.0</v>
      </c>
      <c r="G51" s="51">
        <v>0.05263157894736842</v>
      </c>
      <c r="H51" s="50"/>
    </row>
    <row r="52" ht="15.75" customHeight="1"/>
    <row r="53" ht="15.75" customHeight="1">
      <c r="A53" s="45" t="s">
        <v>45</v>
      </c>
      <c r="B53" s="2"/>
      <c r="C53" s="2"/>
      <c r="D53" s="2"/>
      <c r="E53" s="2"/>
      <c r="F53" s="2"/>
      <c r="G53" s="2"/>
      <c r="H53" s="3"/>
    </row>
    <row r="54" ht="15.75" customHeight="1">
      <c r="A54" s="6" t="s">
        <v>24</v>
      </c>
      <c r="B54" s="7" t="s">
        <v>25</v>
      </c>
      <c r="C54" s="7" t="s">
        <v>26</v>
      </c>
      <c r="D54" s="7" t="s">
        <v>27</v>
      </c>
      <c r="E54" s="7" t="s">
        <v>28</v>
      </c>
      <c r="F54" s="7" t="s">
        <v>29</v>
      </c>
      <c r="G54" s="7" t="s">
        <v>30</v>
      </c>
      <c r="H54" s="7" t="s">
        <v>31</v>
      </c>
    </row>
    <row r="55" ht="15.75" customHeight="1">
      <c r="A55" s="8" t="s">
        <v>14</v>
      </c>
      <c r="B55" s="36">
        <v>92.0</v>
      </c>
      <c r="C55" s="36">
        <v>45.0</v>
      </c>
      <c r="D55" s="10">
        <v>0.4891304347826087</v>
      </c>
      <c r="E55" s="12"/>
      <c r="F55" s="36">
        <v>6.0</v>
      </c>
      <c r="G55" s="37">
        <v>0.06521739130434782</v>
      </c>
      <c r="H55" s="12"/>
    </row>
    <row r="56" ht="15.75" customHeight="1">
      <c r="A56" s="8" t="s">
        <v>39</v>
      </c>
      <c r="B56" s="36">
        <v>44.0</v>
      </c>
      <c r="C56" s="36">
        <v>21.0</v>
      </c>
      <c r="D56" s="10">
        <v>0.4772727272727273</v>
      </c>
      <c r="E56" s="46">
        <v>0.02990430622009569</v>
      </c>
      <c r="F56" s="36">
        <v>4.0</v>
      </c>
      <c r="G56" s="37">
        <v>0.09090909090909091</v>
      </c>
      <c r="H56" s="46">
        <v>0.8636363636363636</v>
      </c>
    </row>
    <row r="57" ht="15.75" customHeight="1">
      <c r="A57" s="8" t="s">
        <v>40</v>
      </c>
      <c r="B57" s="36">
        <v>27.0</v>
      </c>
      <c r="C57" s="36">
        <v>15.0</v>
      </c>
      <c r="D57" s="10">
        <v>0.5555555555555556</v>
      </c>
      <c r="E57" s="46">
        <v>0.1988304093567251</v>
      </c>
      <c r="F57" s="36">
        <v>4.0</v>
      </c>
      <c r="G57" s="37">
        <v>0.1481481481481481</v>
      </c>
      <c r="H57" s="46">
        <v>2.037037037037037</v>
      </c>
    </row>
    <row r="58" ht="15.75" customHeight="1">
      <c r="A58" s="8" t="s">
        <v>34</v>
      </c>
      <c r="B58" s="36">
        <v>20.0</v>
      </c>
      <c r="C58" s="36">
        <v>10.0</v>
      </c>
      <c r="D58" s="10">
        <v>0.5</v>
      </c>
      <c r="E58" s="46">
        <v>0.07894736842105257</v>
      </c>
      <c r="F58" s="36">
        <v>4.0</v>
      </c>
      <c r="G58" s="37">
        <v>0.2</v>
      </c>
      <c r="H58" s="46">
        <v>3.100000000000001</v>
      </c>
    </row>
    <row r="59" ht="15.75" customHeight="1">
      <c r="A59" s="47" t="s">
        <v>41</v>
      </c>
      <c r="B59" s="48">
        <v>41.0</v>
      </c>
      <c r="C59" s="48">
        <v>19.0</v>
      </c>
      <c r="D59" s="49">
        <v>0.4634146341463415</v>
      </c>
      <c r="E59" s="50"/>
      <c r="F59" s="48">
        <v>2.0</v>
      </c>
      <c r="G59" s="51">
        <v>0.04878048780487805</v>
      </c>
      <c r="H59" s="50"/>
    </row>
    <row r="60" ht="15.75" customHeight="1"/>
    <row r="61" ht="15.75" customHeight="1">
      <c r="A61" s="45" t="s">
        <v>46</v>
      </c>
      <c r="B61" s="2"/>
      <c r="C61" s="2"/>
      <c r="D61" s="2"/>
      <c r="E61" s="2"/>
      <c r="F61" s="2"/>
      <c r="G61" s="2"/>
      <c r="H61" s="3"/>
    </row>
    <row r="62" ht="15.75" customHeight="1">
      <c r="A62" s="6" t="s">
        <v>24</v>
      </c>
      <c r="B62" s="7" t="s">
        <v>25</v>
      </c>
      <c r="C62" s="7" t="s">
        <v>26</v>
      </c>
      <c r="D62" s="7" t="s">
        <v>27</v>
      </c>
      <c r="E62" s="7" t="s">
        <v>28</v>
      </c>
      <c r="F62" s="7" t="s">
        <v>29</v>
      </c>
      <c r="G62" s="7" t="s">
        <v>30</v>
      </c>
      <c r="H62" s="7" t="s">
        <v>31</v>
      </c>
    </row>
    <row r="63" ht="15.75" customHeight="1">
      <c r="A63" s="8" t="s">
        <v>14</v>
      </c>
      <c r="B63" s="36">
        <v>76.0</v>
      </c>
      <c r="C63" s="36">
        <v>36.0</v>
      </c>
      <c r="D63" s="10">
        <v>0.4736842105263158</v>
      </c>
      <c r="E63" s="12"/>
      <c r="F63" s="36">
        <v>2.0</v>
      </c>
      <c r="G63" s="37">
        <v>0.02631578947368421</v>
      </c>
      <c r="H63" s="12"/>
    </row>
    <row r="64" ht="15.75" customHeight="1">
      <c r="A64" s="8" t="s">
        <v>39</v>
      </c>
      <c r="B64" s="36">
        <v>45.0</v>
      </c>
      <c r="C64" s="36">
        <v>26.0</v>
      </c>
      <c r="D64" s="10">
        <v>0.5777777777777777</v>
      </c>
      <c r="E64" s="46">
        <v>0.7333333333333333</v>
      </c>
      <c r="F64" s="36">
        <v>2.0</v>
      </c>
      <c r="G64" s="37">
        <v>0.04444444444444445</v>
      </c>
      <c r="H64" s="46">
        <v>1.0</v>
      </c>
    </row>
    <row r="65" ht="15.75" customHeight="1">
      <c r="A65" s="8" t="s">
        <v>40</v>
      </c>
      <c r="B65" s="36">
        <v>19.0</v>
      </c>
      <c r="C65" s="36">
        <v>10.0</v>
      </c>
      <c r="D65" s="10">
        <v>0.5263157894736842</v>
      </c>
      <c r="E65" s="46">
        <v>0.5789473684210527</v>
      </c>
      <c r="F65" s="36">
        <v>0.0</v>
      </c>
      <c r="G65" s="37">
        <v>0.0</v>
      </c>
      <c r="H65" s="12" t="s">
        <v>44</v>
      </c>
    </row>
    <row r="66" ht="15.75" customHeight="1">
      <c r="A66" s="8" t="s">
        <v>34</v>
      </c>
      <c r="B66" s="36">
        <v>18.0</v>
      </c>
      <c r="C66" s="36">
        <v>10.0</v>
      </c>
      <c r="D66" s="10">
        <v>0.5555555555555556</v>
      </c>
      <c r="E66" s="46">
        <v>0.6666666666666669</v>
      </c>
      <c r="F66" s="36">
        <v>0.0</v>
      </c>
      <c r="G66" s="37">
        <v>0.0</v>
      </c>
      <c r="H66" s="12" t="s">
        <v>44</v>
      </c>
    </row>
    <row r="67" ht="15.75" customHeight="1">
      <c r="A67" s="47" t="s">
        <v>41</v>
      </c>
      <c r="B67" s="48">
        <v>30.0</v>
      </c>
      <c r="C67" s="48">
        <v>10.0</v>
      </c>
      <c r="D67" s="49">
        <v>0.3333333333333333</v>
      </c>
      <c r="E67" s="50"/>
      <c r="F67" s="48">
        <v>0.0</v>
      </c>
      <c r="G67" s="51">
        <v>0.0</v>
      </c>
      <c r="H67" s="50"/>
    </row>
    <row r="68" ht="15.75" customHeight="1"/>
    <row r="69" ht="15.75" customHeight="1">
      <c r="A69" s="45" t="s">
        <v>47</v>
      </c>
      <c r="B69" s="2"/>
      <c r="C69" s="2"/>
      <c r="D69" s="2"/>
      <c r="E69" s="2"/>
      <c r="F69" s="2"/>
      <c r="G69" s="2"/>
      <c r="H69" s="3"/>
    </row>
    <row r="70" ht="15.75" customHeight="1">
      <c r="A70" s="6" t="s">
        <v>24</v>
      </c>
      <c r="B70" s="7" t="s">
        <v>25</v>
      </c>
      <c r="C70" s="7" t="s">
        <v>26</v>
      </c>
      <c r="D70" s="7" t="s">
        <v>27</v>
      </c>
      <c r="E70" s="7" t="s">
        <v>28</v>
      </c>
      <c r="F70" s="7" t="s">
        <v>29</v>
      </c>
      <c r="G70" s="7" t="s">
        <v>30</v>
      </c>
      <c r="H70" s="7" t="s">
        <v>31</v>
      </c>
    </row>
    <row r="71" ht="15.75" customHeight="1">
      <c r="A71" s="8" t="s">
        <v>14</v>
      </c>
      <c r="B71" s="36">
        <v>105.0</v>
      </c>
      <c r="C71" s="36">
        <v>49.0</v>
      </c>
      <c r="D71" s="10">
        <v>0.4666666666666667</v>
      </c>
      <c r="E71" s="12"/>
      <c r="F71" s="36">
        <v>4.0</v>
      </c>
      <c r="G71" s="37">
        <v>0.0380952380952381</v>
      </c>
      <c r="H71" s="12"/>
    </row>
    <row r="72" ht="15.75" customHeight="1">
      <c r="A72" s="8" t="s">
        <v>39</v>
      </c>
      <c r="B72" s="36">
        <v>58.0</v>
      </c>
      <c r="C72" s="36">
        <v>27.0</v>
      </c>
      <c r="D72" s="10">
        <v>0.4655172413793103</v>
      </c>
      <c r="E72" s="46">
        <v>0.08620689655172417</v>
      </c>
      <c r="F72" s="36">
        <v>3.0</v>
      </c>
      <c r="G72" s="37">
        <v>0.05172413793103448</v>
      </c>
      <c r="H72" s="46">
        <v>1.172413793103448</v>
      </c>
    </row>
    <row r="73" ht="15.75" customHeight="1">
      <c r="A73" s="8" t="s">
        <v>40</v>
      </c>
      <c r="B73" s="36">
        <v>25.0</v>
      </c>
      <c r="C73" s="36">
        <v>15.0</v>
      </c>
      <c r="D73" s="10">
        <v>0.6</v>
      </c>
      <c r="E73" s="46">
        <v>0.4</v>
      </c>
      <c r="F73" s="36">
        <v>3.0</v>
      </c>
      <c r="G73" s="37">
        <v>0.12</v>
      </c>
      <c r="H73" s="46">
        <v>4.04</v>
      </c>
    </row>
    <row r="74" ht="15.75" customHeight="1">
      <c r="A74" s="8" t="s">
        <v>34</v>
      </c>
      <c r="B74" s="36">
        <v>20.0</v>
      </c>
      <c r="C74" s="36">
        <v>11.0</v>
      </c>
      <c r="D74" s="10">
        <v>0.55</v>
      </c>
      <c r="E74" s="46">
        <v>0.2833333333333335</v>
      </c>
      <c r="F74" s="36">
        <v>3.0</v>
      </c>
      <c r="G74" s="37">
        <v>0.15</v>
      </c>
      <c r="H74" s="46">
        <v>5.3</v>
      </c>
    </row>
    <row r="75" ht="15.75" customHeight="1">
      <c r="A75" s="47" t="s">
        <v>41</v>
      </c>
      <c r="B75" s="48">
        <v>42.0</v>
      </c>
      <c r="C75" s="48">
        <v>18.0</v>
      </c>
      <c r="D75" s="49">
        <v>0.4285714285714285</v>
      </c>
      <c r="E75" s="50"/>
      <c r="F75" s="48">
        <v>1.0</v>
      </c>
      <c r="G75" s="51">
        <v>0.02380952380952381</v>
      </c>
      <c r="H75" s="50"/>
    </row>
    <row r="76" ht="15.75" customHeight="1"/>
    <row r="77" ht="15.75" customHeight="1">
      <c r="A77" s="45" t="s">
        <v>48</v>
      </c>
      <c r="B77" s="2"/>
      <c r="C77" s="2"/>
      <c r="D77" s="2"/>
      <c r="E77" s="2"/>
      <c r="F77" s="2"/>
      <c r="G77" s="2"/>
      <c r="H77" s="3"/>
    </row>
    <row r="78" ht="15.75" customHeight="1">
      <c r="A78" s="6" t="s">
        <v>24</v>
      </c>
      <c r="B78" s="7" t="s">
        <v>25</v>
      </c>
      <c r="C78" s="7" t="s">
        <v>26</v>
      </c>
      <c r="D78" s="7" t="s">
        <v>27</v>
      </c>
      <c r="E78" s="7" t="s">
        <v>28</v>
      </c>
      <c r="F78" s="7" t="s">
        <v>29</v>
      </c>
      <c r="G78" s="7" t="s">
        <v>30</v>
      </c>
      <c r="H78" s="7" t="s">
        <v>31</v>
      </c>
    </row>
    <row r="79" ht="15.75" customHeight="1">
      <c r="A79" s="8" t="s">
        <v>14</v>
      </c>
      <c r="B79" s="36">
        <v>80.0</v>
      </c>
      <c r="C79" s="36">
        <v>42.0</v>
      </c>
      <c r="D79" s="10">
        <v>0.525</v>
      </c>
      <c r="E79" s="12"/>
      <c r="F79" s="36">
        <v>2.0</v>
      </c>
      <c r="G79" s="37">
        <v>0.025</v>
      </c>
      <c r="H79" s="12"/>
    </row>
    <row r="80" ht="15.75" customHeight="1">
      <c r="A80" s="8" t="s">
        <v>39</v>
      </c>
      <c r="B80" s="36">
        <v>41.0</v>
      </c>
      <c r="C80" s="36">
        <v>25.0</v>
      </c>
      <c r="D80" s="10">
        <v>0.6097560975609756</v>
      </c>
      <c r="E80" s="46">
        <v>0.480836236933798</v>
      </c>
      <c r="F80" s="36">
        <v>2.0</v>
      </c>
      <c r="G80" s="37">
        <v>0.04878048780487805</v>
      </c>
      <c r="H80" s="46">
        <v>1.0</v>
      </c>
    </row>
    <row r="81" ht="15.75" customHeight="1">
      <c r="A81" s="8" t="s">
        <v>40</v>
      </c>
      <c r="B81" s="36">
        <v>19.0</v>
      </c>
      <c r="C81" s="36">
        <v>14.0</v>
      </c>
      <c r="D81" s="10">
        <v>0.7368421052631579</v>
      </c>
      <c r="E81" s="46">
        <v>0.7894736842105263</v>
      </c>
      <c r="F81" s="36">
        <v>2.0</v>
      </c>
      <c r="G81" s="37">
        <v>0.1052631578947368</v>
      </c>
      <c r="H81" s="46">
        <v>1.0</v>
      </c>
    </row>
    <row r="82" ht="15.75" customHeight="1">
      <c r="A82" s="8" t="s">
        <v>34</v>
      </c>
      <c r="B82" s="36">
        <v>14.0</v>
      </c>
      <c r="C82" s="36">
        <v>11.0</v>
      </c>
      <c r="D82" s="10">
        <v>0.7857142857142857</v>
      </c>
      <c r="E82" s="46">
        <v>0.9081632653061225</v>
      </c>
      <c r="F82" s="36">
        <v>2.0</v>
      </c>
      <c r="G82" s="37">
        <v>0.1428571428571428</v>
      </c>
      <c r="H82" s="46">
        <v>1.0</v>
      </c>
    </row>
    <row r="83" ht="15.75" customHeight="1">
      <c r="A83" s="47" t="s">
        <v>41</v>
      </c>
      <c r="B83" s="48">
        <v>34.0</v>
      </c>
      <c r="C83" s="48">
        <v>14.0</v>
      </c>
      <c r="D83" s="49">
        <v>0.4117647058823529</v>
      </c>
      <c r="E83" s="50"/>
      <c r="F83" s="48">
        <v>0.0</v>
      </c>
      <c r="G83" s="51">
        <v>0.0</v>
      </c>
      <c r="H83" s="50"/>
    </row>
    <row r="84" ht="15.75" customHeight="1"/>
    <row r="85" ht="15.75" customHeight="1">
      <c r="A85" s="45" t="s">
        <v>49</v>
      </c>
      <c r="B85" s="2"/>
      <c r="C85" s="2"/>
      <c r="D85" s="2"/>
      <c r="E85" s="2"/>
      <c r="F85" s="2"/>
      <c r="G85" s="2"/>
      <c r="H85" s="3"/>
    </row>
    <row r="86" ht="15.75" customHeight="1">
      <c r="A86" s="6" t="s">
        <v>24</v>
      </c>
      <c r="B86" s="7" t="s">
        <v>25</v>
      </c>
      <c r="C86" s="7" t="s">
        <v>26</v>
      </c>
      <c r="D86" s="7" t="s">
        <v>27</v>
      </c>
      <c r="E86" s="7" t="s">
        <v>28</v>
      </c>
      <c r="F86" s="7" t="s">
        <v>29</v>
      </c>
      <c r="G86" s="7" t="s">
        <v>30</v>
      </c>
      <c r="H86" s="7" t="s">
        <v>31</v>
      </c>
    </row>
    <row r="87" ht="15.75" customHeight="1">
      <c r="A87" s="8" t="s">
        <v>14</v>
      </c>
      <c r="B87" s="36">
        <v>77.0</v>
      </c>
      <c r="C87" s="36">
        <v>40.0</v>
      </c>
      <c r="D87" s="10">
        <v>0.5194805194805194</v>
      </c>
      <c r="E87" s="12"/>
      <c r="F87" s="36">
        <v>3.0</v>
      </c>
      <c r="G87" s="37">
        <v>0.03896103896103896</v>
      </c>
      <c r="H87" s="12"/>
    </row>
    <row r="88" ht="15.75" customHeight="1">
      <c r="A88" s="8" t="s">
        <v>39</v>
      </c>
      <c r="B88" s="36">
        <v>33.0</v>
      </c>
      <c r="C88" s="36">
        <v>13.0</v>
      </c>
      <c r="D88" s="10">
        <v>0.3939393939393939</v>
      </c>
      <c r="E88" s="46">
        <v>-0.3016528925619835</v>
      </c>
      <c r="F88" s="36">
        <v>2.0</v>
      </c>
      <c r="G88" s="37">
        <v>0.06060606060606061</v>
      </c>
      <c r="H88" s="46">
        <v>1.0</v>
      </c>
    </row>
    <row r="89" ht="15.75" customHeight="1">
      <c r="A89" s="8" t="s">
        <v>40</v>
      </c>
      <c r="B89" s="36">
        <v>18.0</v>
      </c>
      <c r="C89" s="36">
        <v>13.0</v>
      </c>
      <c r="D89" s="10">
        <v>0.7222222222222222</v>
      </c>
      <c r="E89" s="46">
        <v>0.2803030303030303</v>
      </c>
      <c r="F89" s="36">
        <v>3.0</v>
      </c>
      <c r="G89" s="37">
        <v>0.1666666666666667</v>
      </c>
      <c r="H89" s="46">
        <v>1.0</v>
      </c>
    </row>
    <row r="90" ht="15.75" customHeight="1">
      <c r="A90" s="8" t="s">
        <v>34</v>
      </c>
      <c r="B90" s="36">
        <v>13.0</v>
      </c>
      <c r="C90" s="36">
        <v>8.0</v>
      </c>
      <c r="D90" s="10">
        <v>0.6153846153846154</v>
      </c>
      <c r="E90" s="46">
        <v>0.09090909090909098</v>
      </c>
      <c r="F90" s="36">
        <v>2.0</v>
      </c>
      <c r="G90" s="37">
        <v>0.1538461538461539</v>
      </c>
      <c r="H90" s="46">
        <v>1.0</v>
      </c>
    </row>
    <row r="91" ht="15.75" customHeight="1">
      <c r="A91" s="47" t="s">
        <v>41</v>
      </c>
      <c r="B91" s="48">
        <v>39.0</v>
      </c>
      <c r="C91" s="48">
        <v>22.0</v>
      </c>
      <c r="D91" s="49">
        <v>0.5641025641025641</v>
      </c>
      <c r="E91" s="50"/>
      <c r="F91" s="48">
        <v>0.0</v>
      </c>
      <c r="G91" s="51">
        <v>0.0</v>
      </c>
      <c r="H91" s="50"/>
    </row>
    <row r="92" ht="15.75" customHeight="1"/>
    <row r="93" ht="15.75" customHeight="1">
      <c r="A93" s="45" t="s">
        <v>50</v>
      </c>
      <c r="B93" s="2"/>
      <c r="C93" s="2"/>
      <c r="D93" s="2"/>
      <c r="E93" s="2"/>
      <c r="F93" s="2"/>
      <c r="G93" s="2"/>
      <c r="H93" s="3"/>
    </row>
    <row r="94" ht="15.75" customHeight="1">
      <c r="A94" s="6" t="s">
        <v>24</v>
      </c>
      <c r="B94" s="7" t="s">
        <v>25</v>
      </c>
      <c r="C94" s="7" t="s">
        <v>26</v>
      </c>
      <c r="D94" s="7" t="s">
        <v>27</v>
      </c>
      <c r="E94" s="7" t="s">
        <v>28</v>
      </c>
      <c r="F94" s="7" t="s">
        <v>29</v>
      </c>
      <c r="G94" s="7" t="s">
        <v>30</v>
      </c>
      <c r="H94" s="7" t="s">
        <v>31</v>
      </c>
    </row>
    <row r="95" ht="15.75" customHeight="1">
      <c r="A95" s="8" t="s">
        <v>14</v>
      </c>
      <c r="B95" s="36">
        <v>96.0</v>
      </c>
      <c r="C95" s="36">
        <v>54.0</v>
      </c>
      <c r="D95" s="10">
        <v>0.5625</v>
      </c>
      <c r="E95" s="12"/>
      <c r="F95" s="36">
        <v>4.0</v>
      </c>
      <c r="G95" s="37">
        <v>0.04166666666666666</v>
      </c>
      <c r="H95" s="12"/>
    </row>
    <row r="96" ht="15.75" customHeight="1">
      <c r="A96" s="8" t="s">
        <v>39</v>
      </c>
      <c r="B96" s="36">
        <v>48.0</v>
      </c>
      <c r="C96" s="36">
        <v>30.0</v>
      </c>
      <c r="D96" s="10">
        <v>0.625</v>
      </c>
      <c r="E96" s="46">
        <v>0.2228260869565218</v>
      </c>
      <c r="F96" s="36">
        <v>4.0</v>
      </c>
      <c r="G96" s="37">
        <v>0.08333333333333333</v>
      </c>
      <c r="H96" s="46">
        <v>1.0</v>
      </c>
    </row>
    <row r="97" ht="15.75" customHeight="1">
      <c r="A97" s="8" t="s">
        <v>40</v>
      </c>
      <c r="B97" s="36">
        <v>11.0</v>
      </c>
      <c r="C97" s="36">
        <v>8.0</v>
      </c>
      <c r="D97" s="10">
        <v>0.7272727272727273</v>
      </c>
      <c r="E97" s="46">
        <v>0.4229249011857709</v>
      </c>
      <c r="F97" s="36">
        <v>1.0</v>
      </c>
      <c r="G97" s="37">
        <v>0.09090909090909091</v>
      </c>
      <c r="H97" s="46">
        <v>1.0</v>
      </c>
    </row>
    <row r="98" ht="15.75" customHeight="1">
      <c r="A98" s="8" t="s">
        <v>34</v>
      </c>
      <c r="B98" s="36">
        <v>8.0</v>
      </c>
      <c r="C98" s="36">
        <v>7.0</v>
      </c>
      <c r="D98" s="10">
        <v>0.875</v>
      </c>
      <c r="E98" s="46">
        <v>0.7119565217391306</v>
      </c>
      <c r="F98" s="36">
        <v>1.0</v>
      </c>
      <c r="G98" s="37">
        <v>0.125</v>
      </c>
      <c r="H98" s="46">
        <v>1.0</v>
      </c>
    </row>
    <row r="99" ht="15.75" customHeight="1">
      <c r="A99" s="47" t="s">
        <v>41</v>
      </c>
      <c r="B99" s="48">
        <v>45.0</v>
      </c>
      <c r="C99" s="48">
        <v>23.0</v>
      </c>
      <c r="D99" s="49">
        <v>0.5111111111111111</v>
      </c>
      <c r="E99" s="50"/>
      <c r="F99" s="48">
        <v>0.0</v>
      </c>
      <c r="G99" s="51">
        <v>0.0</v>
      </c>
      <c r="H99" s="50"/>
    </row>
    <row r="100" ht="15.75" customHeight="1"/>
    <row r="101" ht="15.75" customHeight="1">
      <c r="A101" s="45" t="s">
        <v>51</v>
      </c>
      <c r="B101" s="2"/>
      <c r="C101" s="2"/>
      <c r="D101" s="2"/>
      <c r="E101" s="2"/>
      <c r="F101" s="2"/>
      <c r="G101" s="2"/>
      <c r="H101" s="3"/>
    </row>
    <row r="102" ht="15.75" customHeight="1">
      <c r="A102" s="6" t="s">
        <v>24</v>
      </c>
      <c r="B102" s="7" t="s">
        <v>25</v>
      </c>
      <c r="C102" s="7" t="s">
        <v>26</v>
      </c>
      <c r="D102" s="7" t="s">
        <v>27</v>
      </c>
      <c r="E102" s="7" t="s">
        <v>28</v>
      </c>
      <c r="F102" s="7" t="s">
        <v>29</v>
      </c>
      <c r="G102" s="7" t="s">
        <v>30</v>
      </c>
      <c r="H102" s="7" t="s">
        <v>31</v>
      </c>
    </row>
    <row r="103" ht="15.75" customHeight="1">
      <c r="A103" s="8" t="s">
        <v>14</v>
      </c>
      <c r="B103" s="36">
        <v>77.0</v>
      </c>
      <c r="C103" s="36">
        <v>32.0</v>
      </c>
      <c r="D103" s="10">
        <v>0.4155844155844156</v>
      </c>
      <c r="E103" s="12"/>
      <c r="F103" s="36">
        <v>3.0</v>
      </c>
      <c r="G103" s="37">
        <v>0.03896103896103896</v>
      </c>
      <c r="H103" s="12"/>
    </row>
    <row r="104" ht="15.75" customHeight="1">
      <c r="A104" s="8" t="s">
        <v>39</v>
      </c>
      <c r="B104" s="36">
        <v>33.0</v>
      </c>
      <c r="C104" s="36">
        <v>17.0</v>
      </c>
      <c r="D104" s="10">
        <v>0.5151515151515151</v>
      </c>
      <c r="E104" s="46">
        <v>0.6247086247086246</v>
      </c>
      <c r="F104" s="36">
        <v>2.0</v>
      </c>
      <c r="G104" s="37">
        <v>0.06060606060606061</v>
      </c>
      <c r="H104" s="46">
        <v>1.0</v>
      </c>
    </row>
    <row r="105" ht="15.75" customHeight="1">
      <c r="A105" s="8" t="s">
        <v>40</v>
      </c>
      <c r="B105" s="36">
        <v>11.0</v>
      </c>
      <c r="C105" s="36">
        <v>5.0</v>
      </c>
      <c r="D105" s="10">
        <v>0.4545454545454545</v>
      </c>
      <c r="E105" s="46">
        <v>0.4335664335664335</v>
      </c>
      <c r="F105" s="36">
        <v>3.0</v>
      </c>
      <c r="G105" s="37">
        <v>0.2727272727272727</v>
      </c>
      <c r="H105" s="46">
        <v>1.0</v>
      </c>
    </row>
    <row r="106" ht="15.75" customHeight="1">
      <c r="A106" s="8" t="s">
        <v>34</v>
      </c>
      <c r="B106" s="36">
        <v>8.0</v>
      </c>
      <c r="C106" s="36">
        <v>3.0</v>
      </c>
      <c r="D106" s="10">
        <v>0.375</v>
      </c>
      <c r="E106" s="46">
        <v>0.1826923076923077</v>
      </c>
      <c r="F106" s="36">
        <v>2.0</v>
      </c>
      <c r="G106" s="37">
        <v>0.25</v>
      </c>
      <c r="H106" s="46">
        <v>1.0</v>
      </c>
    </row>
    <row r="107" ht="15.75" customHeight="1">
      <c r="A107" s="47" t="s">
        <v>41</v>
      </c>
      <c r="B107" s="48">
        <v>41.0</v>
      </c>
      <c r="C107" s="48">
        <v>13.0</v>
      </c>
      <c r="D107" s="49">
        <v>0.3170731707317073</v>
      </c>
      <c r="E107" s="50"/>
      <c r="F107" s="48">
        <v>0.0</v>
      </c>
      <c r="G107" s="51">
        <v>0.0</v>
      </c>
      <c r="H107" s="50"/>
    </row>
    <row r="108" ht="15.75" customHeight="1"/>
    <row r="109" ht="15.75" customHeight="1">
      <c r="A109" s="45" t="s">
        <v>52</v>
      </c>
      <c r="B109" s="2"/>
      <c r="C109" s="2"/>
      <c r="D109" s="2"/>
      <c r="E109" s="2"/>
      <c r="F109" s="2"/>
      <c r="G109" s="2"/>
      <c r="H109" s="3"/>
    </row>
    <row r="110" ht="15.75" customHeight="1">
      <c r="A110" s="6" t="s">
        <v>24</v>
      </c>
      <c r="B110" s="7" t="s">
        <v>25</v>
      </c>
      <c r="C110" s="7" t="s">
        <v>26</v>
      </c>
      <c r="D110" s="7" t="s">
        <v>27</v>
      </c>
      <c r="E110" s="7" t="s">
        <v>28</v>
      </c>
      <c r="F110" s="7" t="s">
        <v>29</v>
      </c>
      <c r="G110" s="7" t="s">
        <v>30</v>
      </c>
      <c r="H110" s="7" t="s">
        <v>31</v>
      </c>
    </row>
    <row r="111" ht="15.75" customHeight="1">
      <c r="A111" s="8" t="s">
        <v>14</v>
      </c>
      <c r="B111" s="36">
        <v>69.0</v>
      </c>
      <c r="C111" s="36">
        <v>35.0</v>
      </c>
      <c r="D111" s="10">
        <v>0.5072463768115942</v>
      </c>
      <c r="E111" s="12"/>
      <c r="F111" s="36">
        <v>2.0</v>
      </c>
      <c r="G111" s="37">
        <v>0.02898550724637681</v>
      </c>
      <c r="H111" s="12"/>
    </row>
    <row r="112" ht="15.75" customHeight="1">
      <c r="A112" s="8" t="s">
        <v>39</v>
      </c>
      <c r="B112" s="36">
        <v>34.0</v>
      </c>
      <c r="C112" s="36">
        <v>17.0</v>
      </c>
      <c r="D112" s="10">
        <v>0.5</v>
      </c>
      <c r="E112" s="46">
        <v>0.03124999999999997</v>
      </c>
      <c r="F112" s="36">
        <v>2.0</v>
      </c>
      <c r="G112" s="37">
        <v>0.05882352941176471</v>
      </c>
      <c r="H112" s="46">
        <v>1.0</v>
      </c>
    </row>
    <row r="113" ht="15.75" customHeight="1">
      <c r="A113" s="8" t="s">
        <v>40</v>
      </c>
      <c r="B113" s="36">
        <v>13.0</v>
      </c>
      <c r="C113" s="36">
        <v>8.0</v>
      </c>
      <c r="D113" s="10">
        <v>0.6153846153846154</v>
      </c>
      <c r="E113" s="46">
        <v>0.2692307692307693</v>
      </c>
      <c r="F113" s="36">
        <v>1.0</v>
      </c>
      <c r="G113" s="37">
        <v>0.07692307692307693</v>
      </c>
      <c r="H113" s="46">
        <v>1.0</v>
      </c>
    </row>
    <row r="114" ht="15.75" customHeight="1">
      <c r="A114" s="8" t="s">
        <v>34</v>
      </c>
      <c r="B114" s="36">
        <v>11.0</v>
      </c>
      <c r="C114" s="36">
        <v>6.0</v>
      </c>
      <c r="D114" s="10">
        <v>0.5454545454545454</v>
      </c>
      <c r="E114" s="46">
        <v>0.1249999999999999</v>
      </c>
      <c r="F114" s="36">
        <v>1.0</v>
      </c>
      <c r="G114" s="37">
        <v>0.09090909090909091</v>
      </c>
      <c r="H114" s="46">
        <v>1.0</v>
      </c>
    </row>
    <row r="115" ht="15.75" customHeight="1">
      <c r="A115" s="47" t="s">
        <v>41</v>
      </c>
      <c r="B115" s="48">
        <v>33.0</v>
      </c>
      <c r="C115" s="48">
        <v>16.0</v>
      </c>
      <c r="D115" s="49">
        <v>0.4848484848484849</v>
      </c>
      <c r="E115" s="50"/>
      <c r="F115" s="48">
        <v>0.0</v>
      </c>
      <c r="G115" s="51">
        <v>0.0</v>
      </c>
      <c r="H115" s="50"/>
    </row>
    <row r="116" ht="15.75" customHeight="1"/>
    <row r="117" ht="15.75" customHeight="1">
      <c r="A117" s="45" t="s">
        <v>53</v>
      </c>
      <c r="B117" s="2"/>
      <c r="C117" s="2"/>
      <c r="D117" s="2"/>
      <c r="E117" s="2"/>
      <c r="F117" s="2"/>
      <c r="G117" s="2"/>
      <c r="H117" s="3"/>
    </row>
    <row r="118" ht="15.75" customHeight="1">
      <c r="A118" s="6" t="s">
        <v>24</v>
      </c>
      <c r="B118" s="7" t="s">
        <v>25</v>
      </c>
      <c r="C118" s="7" t="s">
        <v>26</v>
      </c>
      <c r="D118" s="7" t="s">
        <v>27</v>
      </c>
      <c r="E118" s="7" t="s">
        <v>28</v>
      </c>
      <c r="F118" s="7" t="s">
        <v>29</v>
      </c>
      <c r="G118" s="7" t="s">
        <v>30</v>
      </c>
      <c r="H118" s="7" t="s">
        <v>31</v>
      </c>
    </row>
    <row r="119" ht="15.75" customHeight="1">
      <c r="A119" s="8" t="s">
        <v>14</v>
      </c>
      <c r="B119" s="36">
        <v>113.0</v>
      </c>
      <c r="C119" s="36">
        <v>58.0</v>
      </c>
      <c r="D119" s="10">
        <v>0.5132743362831859</v>
      </c>
      <c r="E119" s="12"/>
      <c r="F119" s="36">
        <v>2.0</v>
      </c>
      <c r="G119" s="37">
        <v>0.01769911504424779</v>
      </c>
      <c r="H119" s="12"/>
    </row>
    <row r="120" ht="15.75" customHeight="1">
      <c r="A120" s="8" t="s">
        <v>39</v>
      </c>
      <c r="B120" s="36">
        <v>31.0</v>
      </c>
      <c r="C120" s="36">
        <v>15.0</v>
      </c>
      <c r="D120" s="10">
        <v>0.4838709677419355</v>
      </c>
      <c r="E120" s="46">
        <v>-0.08188585607940435</v>
      </c>
      <c r="F120" s="36">
        <v>0.0</v>
      </c>
      <c r="G120" s="37">
        <v>0.0</v>
      </c>
      <c r="H120" s="12" t="s">
        <v>44</v>
      </c>
    </row>
    <row r="121" ht="15.75" customHeight="1">
      <c r="A121" s="8" t="s">
        <v>40</v>
      </c>
      <c r="B121" s="36">
        <v>22.0</v>
      </c>
      <c r="C121" s="36">
        <v>10.0</v>
      </c>
      <c r="D121" s="10">
        <v>0.4545454545454545</v>
      </c>
      <c r="E121" s="46">
        <v>-0.1375291375291375</v>
      </c>
      <c r="F121" s="36">
        <v>0.0</v>
      </c>
      <c r="G121" s="37">
        <v>0.0</v>
      </c>
      <c r="H121" s="12" t="s">
        <v>44</v>
      </c>
    </row>
    <row r="122" ht="15.75" customHeight="1">
      <c r="A122" s="8" t="s">
        <v>34</v>
      </c>
      <c r="B122" s="36">
        <v>14.0</v>
      </c>
      <c r="C122" s="36">
        <v>6.0</v>
      </c>
      <c r="D122" s="10">
        <v>0.4285714285714285</v>
      </c>
      <c r="E122" s="46">
        <v>-0.1868131868131868</v>
      </c>
      <c r="F122" s="36">
        <v>0.0</v>
      </c>
      <c r="G122" s="37">
        <v>0.0</v>
      </c>
      <c r="H122" s="12" t="s">
        <v>44</v>
      </c>
    </row>
    <row r="123" ht="15.75" customHeight="1">
      <c r="A123" s="47" t="s">
        <v>41</v>
      </c>
      <c r="B123" s="48">
        <v>74.0</v>
      </c>
      <c r="C123" s="48">
        <v>39.0</v>
      </c>
      <c r="D123" s="49">
        <v>0.527027027027027</v>
      </c>
      <c r="E123" s="50"/>
      <c r="F123" s="48">
        <v>2.0</v>
      </c>
      <c r="G123" s="51">
        <v>0.02702702702702703</v>
      </c>
      <c r="H123" s="50"/>
    </row>
    <row r="124" ht="15.75" customHeight="1"/>
    <row r="125" ht="15.75" customHeight="1">
      <c r="A125" s="45" t="s">
        <v>54</v>
      </c>
      <c r="B125" s="2"/>
      <c r="C125" s="2"/>
      <c r="D125" s="2"/>
      <c r="E125" s="2"/>
      <c r="F125" s="2"/>
      <c r="G125" s="2"/>
      <c r="H125" s="3"/>
    </row>
    <row r="126" ht="15.75" customHeight="1">
      <c r="A126" s="6" t="s">
        <v>24</v>
      </c>
      <c r="B126" s="7" t="s">
        <v>25</v>
      </c>
      <c r="C126" s="7" t="s">
        <v>26</v>
      </c>
      <c r="D126" s="7" t="s">
        <v>27</v>
      </c>
      <c r="E126" s="7" t="s">
        <v>28</v>
      </c>
      <c r="F126" s="7" t="s">
        <v>29</v>
      </c>
      <c r="G126" s="7" t="s">
        <v>30</v>
      </c>
      <c r="H126" s="7" t="s">
        <v>31</v>
      </c>
    </row>
    <row r="127" ht="15.75" customHeight="1">
      <c r="A127" s="8" t="s">
        <v>14</v>
      </c>
      <c r="B127" s="36">
        <v>106.0</v>
      </c>
      <c r="C127" s="36">
        <v>57.0</v>
      </c>
      <c r="D127" s="10">
        <v>0.5377358490566038</v>
      </c>
      <c r="E127" s="12"/>
      <c r="F127" s="36">
        <v>3.0</v>
      </c>
      <c r="G127" s="37">
        <v>0.02830188679245283</v>
      </c>
      <c r="H127" s="12"/>
    </row>
    <row r="128" ht="15.75" customHeight="1">
      <c r="A128" s="8" t="s">
        <v>39</v>
      </c>
      <c r="B128" s="36">
        <v>45.0</v>
      </c>
      <c r="C128" s="36">
        <v>26.0</v>
      </c>
      <c r="D128" s="10">
        <v>0.5777777777777777</v>
      </c>
      <c r="E128" s="46">
        <v>0.1356321839080458</v>
      </c>
      <c r="F128" s="36">
        <v>1.0</v>
      </c>
      <c r="G128" s="37">
        <v>0.02222222222222222</v>
      </c>
      <c r="H128" s="46">
        <v>-0.3666666666666666</v>
      </c>
    </row>
    <row r="129" ht="15.75" customHeight="1">
      <c r="A129" s="8" t="s">
        <v>40</v>
      </c>
      <c r="B129" s="36">
        <v>21.0</v>
      </c>
      <c r="C129" s="36">
        <v>12.0</v>
      </c>
      <c r="D129" s="10">
        <v>0.5714285714285714</v>
      </c>
      <c r="E129" s="46">
        <v>0.1231527093596058</v>
      </c>
      <c r="F129" s="36">
        <v>1.0</v>
      </c>
      <c r="G129" s="37">
        <v>0.04761904761904762</v>
      </c>
      <c r="H129" s="46">
        <v>0.3571428571428572</v>
      </c>
    </row>
    <row r="130" ht="15.75" customHeight="1">
      <c r="A130" s="8" t="s">
        <v>34</v>
      </c>
      <c r="B130" s="36">
        <v>17.0</v>
      </c>
      <c r="C130" s="36">
        <v>10.0</v>
      </c>
      <c r="D130" s="10">
        <v>0.5882352941176471</v>
      </c>
      <c r="E130" s="46">
        <v>0.1561866125760649</v>
      </c>
      <c r="F130" s="36">
        <v>1.0</v>
      </c>
      <c r="G130" s="37">
        <v>0.05882352941176471</v>
      </c>
      <c r="H130" s="46">
        <v>0.6764705882352942</v>
      </c>
    </row>
    <row r="131" ht="15.75" customHeight="1">
      <c r="A131" s="47" t="s">
        <v>41</v>
      </c>
      <c r="B131" s="48">
        <v>57.0</v>
      </c>
      <c r="C131" s="48">
        <v>29.0</v>
      </c>
      <c r="D131" s="49">
        <v>0.5087719298245614</v>
      </c>
      <c r="E131" s="50"/>
      <c r="F131" s="48">
        <v>2.0</v>
      </c>
      <c r="G131" s="51">
        <v>0.03508771929824561</v>
      </c>
      <c r="H131" s="50"/>
    </row>
    <row r="132" ht="15.75" customHeight="1"/>
    <row r="133" ht="15.75" customHeight="1">
      <c r="A133" s="45" t="s">
        <v>55</v>
      </c>
      <c r="B133" s="2"/>
      <c r="C133" s="2"/>
      <c r="D133" s="2"/>
      <c r="E133" s="2"/>
      <c r="F133" s="2"/>
      <c r="G133" s="2"/>
      <c r="H133" s="3"/>
    </row>
    <row r="134" ht="15.75" customHeight="1">
      <c r="A134" s="6" t="s">
        <v>24</v>
      </c>
      <c r="B134" s="7" t="s">
        <v>25</v>
      </c>
      <c r="C134" s="7" t="s">
        <v>26</v>
      </c>
      <c r="D134" s="7" t="s">
        <v>27</v>
      </c>
      <c r="E134" s="7" t="s">
        <v>28</v>
      </c>
      <c r="F134" s="7" t="s">
        <v>29</v>
      </c>
      <c r="G134" s="7" t="s">
        <v>30</v>
      </c>
      <c r="H134" s="7" t="s">
        <v>31</v>
      </c>
    </row>
    <row r="135" ht="15.75" customHeight="1">
      <c r="A135" s="8" t="s">
        <v>14</v>
      </c>
      <c r="B135" s="36">
        <v>109.0</v>
      </c>
      <c r="C135" s="36">
        <v>58.0</v>
      </c>
      <c r="D135" s="10">
        <v>0.5321100917431193</v>
      </c>
      <c r="E135" s="12"/>
      <c r="F135" s="36">
        <v>4.0</v>
      </c>
      <c r="G135" s="37">
        <v>0.03669724770642202</v>
      </c>
      <c r="H135" s="12"/>
    </row>
    <row r="136" ht="15.75" customHeight="1">
      <c r="A136" s="8" t="s">
        <v>39</v>
      </c>
      <c r="B136" s="36">
        <v>43.0</v>
      </c>
      <c r="C136" s="36">
        <v>28.0</v>
      </c>
      <c r="D136" s="10">
        <v>0.6511627906976745</v>
      </c>
      <c r="E136" s="46">
        <v>0.5026833631484795</v>
      </c>
      <c r="F136" s="36">
        <v>2.0</v>
      </c>
      <c r="G136" s="37">
        <v>0.04651162790697674</v>
      </c>
      <c r="H136" s="46">
        <v>1.790697674418605</v>
      </c>
    </row>
    <row r="137" ht="15.75" customHeight="1">
      <c r="A137" s="8" t="s">
        <v>40</v>
      </c>
      <c r="B137" s="36">
        <v>23.0</v>
      </c>
      <c r="C137" s="36">
        <v>16.0</v>
      </c>
      <c r="D137" s="10">
        <v>0.6956521739130435</v>
      </c>
      <c r="E137" s="46">
        <v>0.6053511705685618</v>
      </c>
      <c r="F137" s="36">
        <v>1.0</v>
      </c>
      <c r="G137" s="37">
        <v>0.04347826086956522</v>
      </c>
      <c r="H137" s="46">
        <v>1.608695652173913</v>
      </c>
    </row>
    <row r="138" ht="15.75" customHeight="1">
      <c r="A138" s="8" t="s">
        <v>34</v>
      </c>
      <c r="B138" s="36">
        <v>17.0</v>
      </c>
      <c r="C138" s="36">
        <v>12.0</v>
      </c>
      <c r="D138" s="10">
        <v>0.7058823529411765</v>
      </c>
      <c r="E138" s="46">
        <v>0.6289592760180996</v>
      </c>
      <c r="F138" s="36">
        <v>0.0</v>
      </c>
      <c r="G138" s="37">
        <v>0.0</v>
      </c>
      <c r="H138" s="12" t="s">
        <v>44</v>
      </c>
    </row>
    <row r="139" ht="15.75" customHeight="1">
      <c r="A139" s="47" t="s">
        <v>41</v>
      </c>
      <c r="B139" s="48">
        <v>60.0</v>
      </c>
      <c r="C139" s="48">
        <v>26.0</v>
      </c>
      <c r="D139" s="49">
        <v>0.4333333333333333</v>
      </c>
      <c r="E139" s="50"/>
      <c r="F139" s="48">
        <v>1.0</v>
      </c>
      <c r="G139" s="51">
        <v>0.01666666666666667</v>
      </c>
      <c r="H139" s="50"/>
    </row>
    <row r="140" ht="15.75" customHeight="1"/>
    <row r="141" ht="15.75" customHeight="1">
      <c r="A141" s="45" t="s">
        <v>56</v>
      </c>
      <c r="B141" s="2"/>
      <c r="C141" s="2"/>
      <c r="D141" s="2"/>
      <c r="E141" s="2"/>
      <c r="F141" s="2"/>
      <c r="G141" s="2"/>
      <c r="H141" s="3"/>
    </row>
    <row r="142" ht="15.75" customHeight="1">
      <c r="A142" s="6" t="s">
        <v>24</v>
      </c>
      <c r="B142" s="7" t="s">
        <v>25</v>
      </c>
      <c r="C142" s="7" t="s">
        <v>26</v>
      </c>
      <c r="D142" s="7" t="s">
        <v>27</v>
      </c>
      <c r="E142" s="7" t="s">
        <v>28</v>
      </c>
      <c r="F142" s="7" t="s">
        <v>29</v>
      </c>
      <c r="G142" s="7" t="s">
        <v>30</v>
      </c>
      <c r="H142" s="7" t="s">
        <v>31</v>
      </c>
    </row>
    <row r="143" ht="15.75" customHeight="1">
      <c r="A143" s="8" t="s">
        <v>14</v>
      </c>
      <c r="B143" s="36">
        <v>106.0</v>
      </c>
      <c r="C143" s="36">
        <v>52.0</v>
      </c>
      <c r="D143" s="10">
        <v>0.4905660377358491</v>
      </c>
      <c r="E143" s="12"/>
      <c r="F143" s="36">
        <v>7.0</v>
      </c>
      <c r="G143" s="37">
        <v>0.0660377358490566</v>
      </c>
      <c r="H143" s="12"/>
    </row>
    <row r="144" ht="15.75" customHeight="1">
      <c r="A144" s="8" t="s">
        <v>39</v>
      </c>
      <c r="B144" s="36">
        <v>48.0</v>
      </c>
      <c r="C144" s="36">
        <v>28.0</v>
      </c>
      <c r="D144" s="10">
        <v>0.5833333333333334</v>
      </c>
      <c r="E144" s="46">
        <v>0.6271929824561405</v>
      </c>
      <c r="F144" s="36">
        <v>2.0</v>
      </c>
      <c r="G144" s="37">
        <v>0.04166666666666666</v>
      </c>
      <c r="H144" s="46">
        <v>-0.5583333333333333</v>
      </c>
    </row>
    <row r="145" ht="15.75" customHeight="1">
      <c r="A145" s="8" t="s">
        <v>40</v>
      </c>
      <c r="B145" s="36">
        <v>26.0</v>
      </c>
      <c r="C145" s="36">
        <v>16.0</v>
      </c>
      <c r="D145" s="10">
        <v>0.6153846153846154</v>
      </c>
      <c r="E145" s="46">
        <v>0.716599190283401</v>
      </c>
      <c r="F145" s="36">
        <v>1.0</v>
      </c>
      <c r="G145" s="37">
        <v>0.03846153846153846</v>
      </c>
      <c r="H145" s="46">
        <v>-0.5923076923076923</v>
      </c>
    </row>
    <row r="146" ht="15.75" customHeight="1">
      <c r="A146" s="8" t="s">
        <v>34</v>
      </c>
      <c r="B146" s="36">
        <v>21.0</v>
      </c>
      <c r="C146" s="36">
        <v>11.0</v>
      </c>
      <c r="D146" s="10">
        <v>0.5238095238095238</v>
      </c>
      <c r="E146" s="46">
        <v>0.461152882205514</v>
      </c>
      <c r="F146" s="36">
        <v>1.0</v>
      </c>
      <c r="G146" s="37">
        <v>0.04761904761904762</v>
      </c>
      <c r="H146" s="46">
        <v>-0.4952380952380953</v>
      </c>
    </row>
    <row r="147" ht="15.75" customHeight="1">
      <c r="A147" s="47" t="s">
        <v>41</v>
      </c>
      <c r="B147" s="48">
        <v>53.0</v>
      </c>
      <c r="C147" s="48">
        <v>19.0</v>
      </c>
      <c r="D147" s="49">
        <v>0.3584905660377358</v>
      </c>
      <c r="E147" s="50"/>
      <c r="F147" s="48">
        <v>5.0</v>
      </c>
      <c r="G147" s="51">
        <v>0.09433962264150944</v>
      </c>
      <c r="H147" s="50"/>
    </row>
    <row r="148" ht="15.75" customHeight="1"/>
    <row r="149" ht="15.75" customHeight="1">
      <c r="A149" s="45" t="s">
        <v>57</v>
      </c>
      <c r="B149" s="2"/>
      <c r="C149" s="2"/>
      <c r="D149" s="2"/>
      <c r="E149" s="2"/>
      <c r="F149" s="2"/>
      <c r="G149" s="2"/>
      <c r="H149" s="3"/>
    </row>
    <row r="150" ht="15.75" customHeight="1">
      <c r="A150" s="6" t="s">
        <v>24</v>
      </c>
      <c r="B150" s="7" t="s">
        <v>25</v>
      </c>
      <c r="C150" s="7" t="s">
        <v>26</v>
      </c>
      <c r="D150" s="7" t="s">
        <v>27</v>
      </c>
      <c r="E150" s="7" t="s">
        <v>28</v>
      </c>
      <c r="F150" s="7" t="s">
        <v>29</v>
      </c>
      <c r="G150" s="7" t="s">
        <v>30</v>
      </c>
      <c r="H150" s="7" t="s">
        <v>31</v>
      </c>
    </row>
    <row r="151" ht="15.75" customHeight="1">
      <c r="A151" s="8" t="s">
        <v>14</v>
      </c>
      <c r="B151" s="36">
        <v>95.0</v>
      </c>
      <c r="C151" s="36">
        <v>46.0</v>
      </c>
      <c r="D151" s="10">
        <v>0.4842105263157895</v>
      </c>
      <c r="E151" s="12"/>
      <c r="F151" s="36">
        <v>4.0</v>
      </c>
      <c r="G151" s="37">
        <v>0.04210526315789474</v>
      </c>
      <c r="H151" s="12"/>
    </row>
    <row r="152" ht="15.75" customHeight="1">
      <c r="A152" s="8" t="s">
        <v>39</v>
      </c>
      <c r="B152" s="36">
        <v>38.0</v>
      </c>
      <c r="C152" s="36">
        <v>22.0</v>
      </c>
      <c r="D152" s="10">
        <v>0.5789473684210527</v>
      </c>
      <c r="E152" s="46">
        <v>0.3267543859649124</v>
      </c>
      <c r="F152" s="36">
        <v>4.0</v>
      </c>
      <c r="G152" s="37">
        <v>0.1052631578947368</v>
      </c>
      <c r="H152" s="46">
        <v>1.0</v>
      </c>
    </row>
    <row r="153" ht="15.75" customHeight="1">
      <c r="A153" s="8" t="s">
        <v>40</v>
      </c>
      <c r="B153" s="36">
        <v>19.0</v>
      </c>
      <c r="C153" s="36">
        <v>10.0</v>
      </c>
      <c r="D153" s="10">
        <v>0.5263157894736842</v>
      </c>
      <c r="E153" s="46">
        <v>0.206140350877193</v>
      </c>
      <c r="F153" s="36">
        <v>3.0</v>
      </c>
      <c r="G153" s="37">
        <v>0.1578947368421053</v>
      </c>
      <c r="H153" s="46">
        <v>1.0</v>
      </c>
    </row>
    <row r="154" ht="15.75" customHeight="1">
      <c r="A154" s="8" t="s">
        <v>34</v>
      </c>
      <c r="B154" s="36">
        <v>17.0</v>
      </c>
      <c r="C154" s="36">
        <v>10.0</v>
      </c>
      <c r="D154" s="10">
        <v>0.5882352941176471</v>
      </c>
      <c r="E154" s="46">
        <v>0.3480392156862746</v>
      </c>
      <c r="F154" s="36">
        <v>3.0</v>
      </c>
      <c r="G154" s="37">
        <v>0.1764705882352941</v>
      </c>
      <c r="H154" s="46">
        <v>1.0</v>
      </c>
    </row>
    <row r="155" ht="15.75" customHeight="1">
      <c r="A155" s="47" t="s">
        <v>41</v>
      </c>
      <c r="B155" s="48">
        <v>55.0</v>
      </c>
      <c r="C155" s="48">
        <v>24.0</v>
      </c>
      <c r="D155" s="49">
        <v>0.4363636363636363</v>
      </c>
      <c r="E155" s="50"/>
      <c r="F155" s="48">
        <v>0.0</v>
      </c>
      <c r="G155" s="51">
        <v>0.0</v>
      </c>
      <c r="H155" s="50"/>
    </row>
    <row r="156" ht="15.75" customHeight="1"/>
    <row r="157" ht="15.75" customHeight="1">
      <c r="A157" s="45" t="s">
        <v>58</v>
      </c>
      <c r="B157" s="2"/>
      <c r="C157" s="2"/>
      <c r="D157" s="2"/>
      <c r="E157" s="2"/>
      <c r="F157" s="2"/>
      <c r="G157" s="2"/>
      <c r="H157" s="3"/>
    </row>
    <row r="158" ht="15.75" customHeight="1">
      <c r="A158" s="6" t="s">
        <v>24</v>
      </c>
      <c r="B158" s="7" t="s">
        <v>25</v>
      </c>
      <c r="C158" s="7" t="s">
        <v>26</v>
      </c>
      <c r="D158" s="7" t="s">
        <v>27</v>
      </c>
      <c r="E158" s="7" t="s">
        <v>28</v>
      </c>
      <c r="F158" s="7" t="s">
        <v>29</v>
      </c>
      <c r="G158" s="7" t="s">
        <v>30</v>
      </c>
      <c r="H158" s="7" t="s">
        <v>31</v>
      </c>
    </row>
    <row r="159" ht="15.75" customHeight="1">
      <c r="A159" s="8" t="s">
        <v>14</v>
      </c>
      <c r="B159" s="36">
        <v>107.0</v>
      </c>
      <c r="C159" s="36">
        <v>55.0</v>
      </c>
      <c r="D159" s="10">
        <v>0.514018691588785</v>
      </c>
      <c r="E159" s="12"/>
      <c r="F159" s="36">
        <v>4.0</v>
      </c>
      <c r="G159" s="37">
        <v>0.03738317757009346</v>
      </c>
      <c r="H159" s="12"/>
    </row>
    <row r="160" ht="15.75" customHeight="1">
      <c r="A160" s="8" t="s">
        <v>39</v>
      </c>
      <c r="B160" s="36">
        <v>58.0</v>
      </c>
      <c r="C160" s="36">
        <v>34.0</v>
      </c>
      <c r="D160" s="10">
        <v>0.5862068965517241</v>
      </c>
      <c r="E160" s="46">
        <v>0.3678160919540229</v>
      </c>
      <c r="F160" s="36">
        <v>4.0</v>
      </c>
      <c r="G160" s="37">
        <v>0.06896551724137931</v>
      </c>
      <c r="H160" s="46">
        <v>1.0</v>
      </c>
    </row>
    <row r="161" ht="15.75" customHeight="1">
      <c r="A161" s="8" t="s">
        <v>40</v>
      </c>
      <c r="B161" s="36">
        <v>25.0</v>
      </c>
      <c r="C161" s="36">
        <v>16.0</v>
      </c>
      <c r="D161" s="10">
        <v>0.64</v>
      </c>
      <c r="E161" s="46">
        <v>0.4933333333333335</v>
      </c>
      <c r="F161" s="36">
        <v>2.0</v>
      </c>
      <c r="G161" s="37">
        <v>0.08</v>
      </c>
      <c r="H161" s="46">
        <v>1.0</v>
      </c>
    </row>
    <row r="162" ht="15.75" customHeight="1">
      <c r="A162" s="8" t="s">
        <v>34</v>
      </c>
      <c r="B162" s="36">
        <v>25.0</v>
      </c>
      <c r="C162" s="36">
        <v>16.0</v>
      </c>
      <c r="D162" s="10">
        <v>0.64</v>
      </c>
      <c r="E162" s="46">
        <v>0.4933333333333335</v>
      </c>
      <c r="F162" s="36">
        <v>2.0</v>
      </c>
      <c r="G162" s="37">
        <v>0.08</v>
      </c>
      <c r="H162" s="46">
        <v>1.0</v>
      </c>
    </row>
    <row r="163" ht="15.75" customHeight="1">
      <c r="A163" s="47" t="s">
        <v>41</v>
      </c>
      <c r="B163" s="48">
        <v>49.0</v>
      </c>
      <c r="C163" s="48">
        <v>21.0</v>
      </c>
      <c r="D163" s="49">
        <v>0.4285714285714285</v>
      </c>
      <c r="E163" s="50"/>
      <c r="F163" s="48">
        <v>0.0</v>
      </c>
      <c r="G163" s="51">
        <v>0.0</v>
      </c>
      <c r="H163" s="50"/>
    </row>
    <row r="164" ht="15.75" customHeight="1"/>
    <row r="165" ht="15.75" customHeight="1">
      <c r="A165" s="45" t="s">
        <v>59</v>
      </c>
      <c r="B165" s="2"/>
      <c r="C165" s="2"/>
      <c r="D165" s="2"/>
      <c r="E165" s="2"/>
      <c r="F165" s="2"/>
      <c r="G165" s="2"/>
      <c r="H165" s="3"/>
    </row>
    <row r="166" ht="15.75" customHeight="1">
      <c r="A166" s="6" t="s">
        <v>24</v>
      </c>
      <c r="B166" s="7" t="s">
        <v>25</v>
      </c>
      <c r="C166" s="7" t="s">
        <v>26</v>
      </c>
      <c r="D166" s="7" t="s">
        <v>27</v>
      </c>
      <c r="E166" s="7" t="s">
        <v>28</v>
      </c>
      <c r="F166" s="7" t="s">
        <v>29</v>
      </c>
      <c r="G166" s="7" t="s">
        <v>30</v>
      </c>
      <c r="H166" s="7" t="s">
        <v>31</v>
      </c>
    </row>
    <row r="167" ht="15.75" customHeight="1">
      <c r="A167" s="8" t="s">
        <v>14</v>
      </c>
      <c r="B167" s="36">
        <v>119.0</v>
      </c>
      <c r="C167" s="36">
        <v>62.0</v>
      </c>
      <c r="D167" s="10">
        <v>0.5210084033613446</v>
      </c>
      <c r="E167" s="12"/>
      <c r="F167" s="36">
        <v>6.0</v>
      </c>
      <c r="G167" s="37">
        <v>0.05042016806722689</v>
      </c>
      <c r="H167" s="12"/>
    </row>
    <row r="168" ht="15.75" customHeight="1">
      <c r="A168" s="8" t="s">
        <v>39</v>
      </c>
      <c r="B168" s="36">
        <v>40.0</v>
      </c>
      <c r="C168" s="36">
        <v>25.0</v>
      </c>
      <c r="D168" s="10">
        <v>0.625</v>
      </c>
      <c r="E168" s="46">
        <v>0.4015151515151515</v>
      </c>
      <c r="F168" s="36">
        <v>3.0</v>
      </c>
      <c r="G168" s="37">
        <v>0.075</v>
      </c>
      <c r="H168" s="46">
        <v>0.8499999999999999</v>
      </c>
    </row>
    <row r="169" ht="15.75" customHeight="1">
      <c r="A169" s="8" t="s">
        <v>40</v>
      </c>
      <c r="B169" s="36">
        <v>18.0</v>
      </c>
      <c r="C169" s="36">
        <v>13.0</v>
      </c>
      <c r="D169" s="10">
        <v>0.7222222222222222</v>
      </c>
      <c r="E169" s="46">
        <v>0.6195286195286195</v>
      </c>
      <c r="F169" s="36">
        <v>0.0</v>
      </c>
      <c r="G169" s="37">
        <v>0.0</v>
      </c>
      <c r="H169" s="12" t="s">
        <v>44</v>
      </c>
    </row>
    <row r="170" ht="15.75" customHeight="1">
      <c r="A170" s="8" t="s">
        <v>34</v>
      </c>
      <c r="B170" s="36">
        <v>13.0</v>
      </c>
      <c r="C170" s="36">
        <v>9.0</v>
      </c>
      <c r="D170" s="10">
        <v>0.6923076923076923</v>
      </c>
      <c r="E170" s="46">
        <v>0.5524475524475524</v>
      </c>
      <c r="F170" s="36">
        <v>0.0</v>
      </c>
      <c r="G170" s="37">
        <v>0.0</v>
      </c>
      <c r="H170" s="12" t="s">
        <v>44</v>
      </c>
    </row>
    <row r="171" ht="15.75" customHeight="1">
      <c r="A171" s="47" t="s">
        <v>41</v>
      </c>
      <c r="B171" s="48">
        <v>74.0</v>
      </c>
      <c r="C171" s="48">
        <v>33.0</v>
      </c>
      <c r="D171" s="49">
        <v>0.4459459459459459</v>
      </c>
      <c r="E171" s="50"/>
      <c r="F171" s="48">
        <v>3.0</v>
      </c>
      <c r="G171" s="51">
        <v>0.04054054054054054</v>
      </c>
      <c r="H171" s="50"/>
    </row>
    <row r="172" ht="15.75" customHeight="1"/>
    <row r="173" ht="15.75" customHeight="1">
      <c r="A173" s="45" t="s">
        <v>60</v>
      </c>
      <c r="B173" s="2"/>
      <c r="C173" s="2"/>
      <c r="D173" s="2"/>
      <c r="E173" s="2"/>
      <c r="F173" s="2"/>
      <c r="G173" s="2"/>
      <c r="H173" s="3"/>
    </row>
    <row r="174" ht="15.75" customHeight="1">
      <c r="A174" s="6" t="s">
        <v>24</v>
      </c>
      <c r="B174" s="7" t="s">
        <v>25</v>
      </c>
      <c r="C174" s="7" t="s">
        <v>26</v>
      </c>
      <c r="D174" s="7" t="s">
        <v>27</v>
      </c>
      <c r="E174" s="7" t="s">
        <v>28</v>
      </c>
      <c r="F174" s="7" t="s">
        <v>29</v>
      </c>
      <c r="G174" s="7" t="s">
        <v>30</v>
      </c>
      <c r="H174" s="7" t="s">
        <v>31</v>
      </c>
    </row>
    <row r="175" ht="15.75" customHeight="1">
      <c r="A175" s="8" t="s">
        <v>14</v>
      </c>
      <c r="B175" s="36">
        <v>101.0</v>
      </c>
      <c r="C175" s="36">
        <v>54.0</v>
      </c>
      <c r="D175" s="10">
        <v>0.5346534653465347</v>
      </c>
      <c r="E175" s="12"/>
      <c r="F175" s="36">
        <v>7.0</v>
      </c>
      <c r="G175" s="37">
        <v>0.06930693069306931</v>
      </c>
      <c r="H175" s="12"/>
    </row>
    <row r="176" ht="15.75" customHeight="1">
      <c r="A176" s="8" t="s">
        <v>39</v>
      </c>
      <c r="B176" s="36">
        <v>52.0</v>
      </c>
      <c r="C176" s="36">
        <v>33.0</v>
      </c>
      <c r="D176" s="10">
        <v>0.6346153846153846</v>
      </c>
      <c r="E176" s="46">
        <v>0.5030364372469635</v>
      </c>
      <c r="F176" s="36">
        <v>3.0</v>
      </c>
      <c r="G176" s="37">
        <v>0.0576923076923077</v>
      </c>
      <c r="H176" s="46">
        <v>-0.3509615384615384</v>
      </c>
    </row>
    <row r="177" ht="15.75" customHeight="1">
      <c r="A177" s="8" t="s">
        <v>40</v>
      </c>
      <c r="B177" s="36">
        <v>20.0</v>
      </c>
      <c r="C177" s="36">
        <v>15.0</v>
      </c>
      <c r="D177" s="10">
        <v>0.75</v>
      </c>
      <c r="E177" s="46">
        <v>0.7763157894736842</v>
      </c>
      <c r="F177" s="36">
        <v>2.0</v>
      </c>
      <c r="G177" s="37">
        <v>0.1</v>
      </c>
      <c r="H177" s="46">
        <v>0.125</v>
      </c>
    </row>
    <row r="178" ht="15.75" customHeight="1">
      <c r="A178" s="8" t="s">
        <v>34</v>
      </c>
      <c r="B178" s="36">
        <v>16.0</v>
      </c>
      <c r="C178" s="36">
        <v>13.0</v>
      </c>
      <c r="D178" s="10">
        <v>0.8125</v>
      </c>
      <c r="E178" s="46">
        <v>0.9243421052631579</v>
      </c>
      <c r="F178" s="36">
        <v>2.0</v>
      </c>
      <c r="G178" s="37">
        <v>0.125</v>
      </c>
      <c r="H178" s="46">
        <v>0.4062499999999999</v>
      </c>
    </row>
    <row r="179" ht="15.75" customHeight="1">
      <c r="A179" s="47" t="s">
        <v>41</v>
      </c>
      <c r="B179" s="48">
        <v>45.0</v>
      </c>
      <c r="C179" s="48">
        <v>19.0</v>
      </c>
      <c r="D179" s="49">
        <v>0.4222222222222222</v>
      </c>
      <c r="E179" s="50"/>
      <c r="F179" s="48">
        <v>4.0</v>
      </c>
      <c r="G179" s="51">
        <v>0.08888888888888889</v>
      </c>
      <c r="H179" s="50"/>
    </row>
    <row r="180" ht="15.75" customHeight="1"/>
    <row r="181" ht="15.75" customHeight="1">
      <c r="A181" s="45" t="s">
        <v>61</v>
      </c>
      <c r="B181" s="2"/>
      <c r="C181" s="2"/>
      <c r="D181" s="2"/>
      <c r="E181" s="2"/>
      <c r="F181" s="2"/>
      <c r="G181" s="2"/>
      <c r="H181" s="3"/>
    </row>
    <row r="182" ht="15.75" customHeight="1">
      <c r="A182" s="6" t="s">
        <v>24</v>
      </c>
      <c r="B182" s="7" t="s">
        <v>25</v>
      </c>
      <c r="C182" s="7" t="s">
        <v>26</v>
      </c>
      <c r="D182" s="7" t="s">
        <v>27</v>
      </c>
      <c r="E182" s="7" t="s">
        <v>28</v>
      </c>
      <c r="F182" s="7" t="s">
        <v>29</v>
      </c>
      <c r="G182" s="7" t="s">
        <v>30</v>
      </c>
      <c r="H182" s="7" t="s">
        <v>31</v>
      </c>
    </row>
    <row r="183" ht="15.75" customHeight="1">
      <c r="A183" s="8" t="s">
        <v>14</v>
      </c>
      <c r="B183" s="36">
        <v>79.0</v>
      </c>
      <c r="C183" s="36">
        <v>46.0</v>
      </c>
      <c r="D183" s="10">
        <v>0.5822784810126582</v>
      </c>
      <c r="E183" s="12"/>
      <c r="F183" s="36">
        <v>4.0</v>
      </c>
      <c r="G183" s="37">
        <v>0.05063291139240506</v>
      </c>
      <c r="H183" s="12"/>
    </row>
    <row r="184" ht="15.75" customHeight="1">
      <c r="A184" s="8" t="s">
        <v>39</v>
      </c>
      <c r="B184" s="36">
        <v>39.0</v>
      </c>
      <c r="C184" s="36">
        <v>22.0</v>
      </c>
      <c r="D184" s="10">
        <v>0.5641025641025641</v>
      </c>
      <c r="E184" s="46">
        <v>-0.06923076923076926</v>
      </c>
      <c r="F184" s="36">
        <v>4.0</v>
      </c>
      <c r="G184" s="37">
        <v>0.1025641025641026</v>
      </c>
      <c r="H184" s="46">
        <v>1.0</v>
      </c>
    </row>
    <row r="185" ht="15.75" customHeight="1">
      <c r="A185" s="8" t="s">
        <v>40</v>
      </c>
      <c r="B185" s="36">
        <v>23.0</v>
      </c>
      <c r="C185" s="36">
        <v>14.0</v>
      </c>
      <c r="D185" s="10">
        <v>0.6086956521739131</v>
      </c>
      <c r="E185" s="46">
        <v>0.004347826086956557</v>
      </c>
      <c r="F185" s="36">
        <v>3.0</v>
      </c>
      <c r="G185" s="37">
        <v>0.1304347826086956</v>
      </c>
      <c r="H185" s="46">
        <v>1.0</v>
      </c>
    </row>
    <row r="186" ht="15.75" customHeight="1">
      <c r="A186" s="8" t="s">
        <v>34</v>
      </c>
      <c r="B186" s="36">
        <v>16.0</v>
      </c>
      <c r="C186" s="36">
        <v>10.0</v>
      </c>
      <c r="D186" s="10">
        <v>0.625</v>
      </c>
      <c r="E186" s="46">
        <v>0.03124999999999997</v>
      </c>
      <c r="F186" s="36">
        <v>3.0</v>
      </c>
      <c r="G186" s="37">
        <v>0.1875</v>
      </c>
      <c r="H186" s="46">
        <v>1.0</v>
      </c>
    </row>
    <row r="187" ht="15.75" customHeight="1">
      <c r="A187" s="47" t="s">
        <v>41</v>
      </c>
      <c r="B187" s="48">
        <v>33.0</v>
      </c>
      <c r="C187" s="48">
        <v>20.0</v>
      </c>
      <c r="D187" s="49">
        <v>0.6060606060606061</v>
      </c>
      <c r="E187" s="50"/>
      <c r="F187" s="48">
        <v>0.0</v>
      </c>
      <c r="G187" s="51">
        <v>0.0</v>
      </c>
      <c r="H187" s="50"/>
    </row>
    <row r="188" ht="15.75" customHeight="1"/>
    <row r="189" ht="15.75" customHeight="1">
      <c r="A189" s="45" t="s">
        <v>62</v>
      </c>
      <c r="B189" s="2"/>
      <c r="C189" s="2"/>
      <c r="D189" s="2"/>
      <c r="E189" s="2"/>
      <c r="F189" s="2"/>
      <c r="G189" s="2"/>
      <c r="H189" s="3"/>
    </row>
    <row r="190" ht="15.75" customHeight="1">
      <c r="A190" s="6" t="s">
        <v>24</v>
      </c>
      <c r="B190" s="7" t="s">
        <v>25</v>
      </c>
      <c r="C190" s="7" t="s">
        <v>26</v>
      </c>
      <c r="D190" s="7" t="s">
        <v>27</v>
      </c>
      <c r="E190" s="7" t="s">
        <v>28</v>
      </c>
      <c r="F190" s="7" t="s">
        <v>29</v>
      </c>
      <c r="G190" s="7" t="s">
        <v>30</v>
      </c>
      <c r="H190" s="7" t="s">
        <v>31</v>
      </c>
    </row>
    <row r="191" ht="15.75" customHeight="1">
      <c r="A191" s="8" t="s">
        <v>14</v>
      </c>
      <c r="B191" s="36">
        <v>90.0</v>
      </c>
      <c r="C191" s="36">
        <v>56.0</v>
      </c>
      <c r="D191" s="10">
        <v>0.6222222222222222</v>
      </c>
      <c r="E191" s="12"/>
      <c r="F191" s="36">
        <v>8.0</v>
      </c>
      <c r="G191" s="37">
        <v>0.08888888888888889</v>
      </c>
      <c r="H191" s="12"/>
    </row>
    <row r="192" ht="15.75" customHeight="1">
      <c r="A192" s="8" t="s">
        <v>39</v>
      </c>
      <c r="B192" s="36">
        <v>46.0</v>
      </c>
      <c r="C192" s="36">
        <v>31.0</v>
      </c>
      <c r="D192" s="10">
        <v>0.6739130434782609</v>
      </c>
      <c r="E192" s="46">
        <v>0.2013232514177692</v>
      </c>
      <c r="F192" s="36">
        <v>6.0</v>
      </c>
      <c r="G192" s="37">
        <v>0.1304347826086956</v>
      </c>
      <c r="H192" s="46">
        <v>4.347826086956522</v>
      </c>
    </row>
    <row r="193" ht="15.75" customHeight="1">
      <c r="A193" s="8" t="s">
        <v>40</v>
      </c>
      <c r="B193" s="36">
        <v>22.0</v>
      </c>
      <c r="C193" s="36">
        <v>17.0</v>
      </c>
      <c r="D193" s="10">
        <v>0.7727272727272727</v>
      </c>
      <c r="E193" s="46">
        <v>0.3774703557312251</v>
      </c>
      <c r="F193" s="36">
        <v>5.0</v>
      </c>
      <c r="G193" s="37">
        <v>0.2272727272727273</v>
      </c>
      <c r="H193" s="46">
        <v>8.318181818181818</v>
      </c>
    </row>
    <row r="194" ht="15.75" customHeight="1">
      <c r="A194" s="8" t="s">
        <v>34</v>
      </c>
      <c r="B194" s="36">
        <v>19.0</v>
      </c>
      <c r="C194" s="36">
        <v>15.0</v>
      </c>
      <c r="D194" s="10">
        <v>0.7894736842105263</v>
      </c>
      <c r="E194" s="46">
        <v>0.4073226544622425</v>
      </c>
      <c r="F194" s="36">
        <v>4.0</v>
      </c>
      <c r="G194" s="37">
        <v>0.2105263157894737</v>
      </c>
      <c r="H194" s="46">
        <v>7.63157894736842</v>
      </c>
    </row>
    <row r="195" ht="15.75" customHeight="1">
      <c r="A195" s="47" t="s">
        <v>41</v>
      </c>
      <c r="B195" s="48">
        <v>41.0</v>
      </c>
      <c r="C195" s="48">
        <v>23.0</v>
      </c>
      <c r="D195" s="49">
        <v>0.5609756097560976</v>
      </c>
      <c r="E195" s="50"/>
      <c r="F195" s="48">
        <v>1.0</v>
      </c>
      <c r="G195" s="51">
        <v>0.02439024390243903</v>
      </c>
      <c r="H195" s="50"/>
    </row>
    <row r="196" ht="15.75" customHeight="1"/>
    <row r="197" ht="15.75" customHeight="1">
      <c r="A197" s="45" t="s">
        <v>63</v>
      </c>
      <c r="B197" s="2"/>
      <c r="C197" s="2"/>
      <c r="D197" s="2"/>
      <c r="E197" s="2"/>
      <c r="F197" s="2"/>
      <c r="G197" s="2"/>
      <c r="H197" s="3"/>
    </row>
    <row r="198" ht="15.75" customHeight="1">
      <c r="A198" s="6" t="s">
        <v>24</v>
      </c>
      <c r="B198" s="7" t="s">
        <v>25</v>
      </c>
      <c r="C198" s="7" t="s">
        <v>26</v>
      </c>
      <c r="D198" s="7" t="s">
        <v>27</v>
      </c>
      <c r="E198" s="7" t="s">
        <v>28</v>
      </c>
      <c r="F198" s="7" t="s">
        <v>29</v>
      </c>
      <c r="G198" s="7" t="s">
        <v>30</v>
      </c>
      <c r="H198" s="7" t="s">
        <v>31</v>
      </c>
    </row>
    <row r="199" ht="15.75" customHeight="1">
      <c r="A199" s="8" t="s">
        <v>14</v>
      </c>
      <c r="B199" s="36">
        <v>97.0</v>
      </c>
      <c r="C199" s="36">
        <v>53.0</v>
      </c>
      <c r="D199" s="10">
        <v>0.5463917525773195</v>
      </c>
      <c r="E199" s="12"/>
      <c r="F199" s="36">
        <v>6.0</v>
      </c>
      <c r="G199" s="37">
        <v>0.06185567010309279</v>
      </c>
      <c r="H199" s="12"/>
    </row>
    <row r="200" ht="15.75" customHeight="1">
      <c r="A200" s="8" t="s">
        <v>39</v>
      </c>
      <c r="B200" s="36">
        <v>48.0</v>
      </c>
      <c r="C200" s="36">
        <v>30.0</v>
      </c>
      <c r="D200" s="10">
        <v>0.625</v>
      </c>
      <c r="E200" s="46">
        <v>0.2784090909090909</v>
      </c>
      <c r="F200" s="36">
        <v>5.0</v>
      </c>
      <c r="G200" s="37">
        <v>0.1041666666666667</v>
      </c>
      <c r="H200" s="46">
        <v>3.6875</v>
      </c>
    </row>
    <row r="201" ht="15.75" customHeight="1">
      <c r="A201" s="8" t="s">
        <v>40</v>
      </c>
      <c r="B201" s="36">
        <v>26.0</v>
      </c>
      <c r="C201" s="36">
        <v>13.0</v>
      </c>
      <c r="D201" s="10">
        <v>0.5</v>
      </c>
      <c r="E201" s="46">
        <v>0.02272727272727276</v>
      </c>
      <c r="F201" s="36">
        <v>2.0</v>
      </c>
      <c r="G201" s="37">
        <v>0.07692307692307693</v>
      </c>
      <c r="H201" s="46">
        <v>2.461538461538461</v>
      </c>
    </row>
    <row r="202" ht="15.75" customHeight="1">
      <c r="A202" s="8" t="s">
        <v>34</v>
      </c>
      <c r="B202" s="36">
        <v>22.0</v>
      </c>
      <c r="C202" s="36">
        <v>12.0</v>
      </c>
      <c r="D202" s="10">
        <v>0.5454545454545454</v>
      </c>
      <c r="E202" s="46">
        <v>0.1157024793388429</v>
      </c>
      <c r="F202" s="36">
        <v>2.0</v>
      </c>
      <c r="G202" s="37">
        <v>0.09090909090909091</v>
      </c>
      <c r="H202" s="46">
        <v>3.090909090909091</v>
      </c>
    </row>
    <row r="203" ht="15.75" customHeight="1">
      <c r="A203" s="47" t="s">
        <v>41</v>
      </c>
      <c r="B203" s="48">
        <v>45.0</v>
      </c>
      <c r="C203" s="48">
        <v>22.0</v>
      </c>
      <c r="D203" s="49">
        <v>0.4888888888888889</v>
      </c>
      <c r="E203" s="50"/>
      <c r="F203" s="48">
        <v>1.0</v>
      </c>
      <c r="G203" s="51">
        <v>0.02222222222222222</v>
      </c>
      <c r="H203" s="50"/>
    </row>
    <row r="204" ht="15.75" customHeight="1"/>
    <row r="205" ht="15.75" customHeight="1">
      <c r="A205" s="45" t="s">
        <v>64</v>
      </c>
      <c r="B205" s="2"/>
      <c r="C205" s="2"/>
      <c r="D205" s="2"/>
      <c r="E205" s="2"/>
      <c r="F205" s="2"/>
      <c r="G205" s="2"/>
      <c r="H205" s="3"/>
    </row>
    <row r="206" ht="15.75" customHeight="1">
      <c r="A206" s="6" t="s">
        <v>24</v>
      </c>
      <c r="B206" s="7" t="s">
        <v>25</v>
      </c>
      <c r="C206" s="7" t="s">
        <v>26</v>
      </c>
      <c r="D206" s="7" t="s">
        <v>27</v>
      </c>
      <c r="E206" s="7" t="s">
        <v>28</v>
      </c>
      <c r="F206" s="7" t="s">
        <v>29</v>
      </c>
      <c r="G206" s="7" t="s">
        <v>30</v>
      </c>
      <c r="H206" s="7" t="s">
        <v>31</v>
      </c>
    </row>
    <row r="207" ht="15.75" customHeight="1">
      <c r="A207" s="8" t="s">
        <v>14</v>
      </c>
      <c r="B207" s="36">
        <v>91.0</v>
      </c>
      <c r="C207" s="36">
        <v>41.0</v>
      </c>
      <c r="D207" s="10">
        <v>0.4505494505494506</v>
      </c>
      <c r="E207" s="12"/>
      <c r="F207" s="36">
        <v>4.0</v>
      </c>
      <c r="G207" s="37">
        <v>0.04395604395604396</v>
      </c>
      <c r="H207" s="12"/>
    </row>
    <row r="208" ht="15.75" customHeight="1">
      <c r="A208" s="8" t="s">
        <v>39</v>
      </c>
      <c r="B208" s="36">
        <v>47.0</v>
      </c>
      <c r="C208" s="36">
        <v>25.0</v>
      </c>
      <c r="D208" s="10">
        <v>0.5319148936170213</v>
      </c>
      <c r="E208" s="46">
        <v>0.2965425531914894</v>
      </c>
      <c r="F208" s="36">
        <v>3.0</v>
      </c>
      <c r="G208" s="37">
        <v>0.06382978723404255</v>
      </c>
      <c r="H208" s="46">
        <v>1.48936170212766</v>
      </c>
    </row>
    <row r="209" ht="15.75" customHeight="1">
      <c r="A209" s="8" t="s">
        <v>40</v>
      </c>
      <c r="B209" s="36">
        <v>22.0</v>
      </c>
      <c r="C209" s="36">
        <v>11.0</v>
      </c>
      <c r="D209" s="10">
        <v>0.5</v>
      </c>
      <c r="E209" s="46">
        <v>0.2187500000000001</v>
      </c>
      <c r="F209" s="36">
        <v>2.0</v>
      </c>
      <c r="G209" s="37">
        <v>0.09090909090909091</v>
      </c>
      <c r="H209" s="46">
        <v>2.545454545454546</v>
      </c>
    </row>
    <row r="210" ht="15.75" customHeight="1">
      <c r="A210" s="8" t="s">
        <v>34</v>
      </c>
      <c r="B210" s="36">
        <v>17.0</v>
      </c>
      <c r="C210" s="36">
        <v>11.0</v>
      </c>
      <c r="D210" s="10">
        <v>0.6470588235294118</v>
      </c>
      <c r="E210" s="46">
        <v>0.5772058823529413</v>
      </c>
      <c r="F210" s="36">
        <v>2.0</v>
      </c>
      <c r="G210" s="37">
        <v>0.1176470588235294</v>
      </c>
      <c r="H210" s="46">
        <v>3.588235294117648</v>
      </c>
    </row>
    <row r="211" ht="15.75" customHeight="1">
      <c r="A211" s="47" t="s">
        <v>41</v>
      </c>
      <c r="B211" s="48">
        <v>39.0</v>
      </c>
      <c r="C211" s="48">
        <v>16.0</v>
      </c>
      <c r="D211" s="49">
        <v>0.4102564102564102</v>
      </c>
      <c r="E211" s="50"/>
      <c r="F211" s="48">
        <v>1.0</v>
      </c>
      <c r="G211" s="51">
        <v>0.02564102564102564</v>
      </c>
      <c r="H211" s="50"/>
    </row>
    <row r="212" ht="15.75" customHeight="1"/>
    <row r="213" ht="15.75" customHeight="1">
      <c r="A213" s="45" t="s">
        <v>65</v>
      </c>
      <c r="B213" s="2"/>
      <c r="C213" s="2"/>
      <c r="D213" s="2"/>
      <c r="E213" s="2"/>
      <c r="F213" s="2"/>
      <c r="G213" s="2"/>
      <c r="H213" s="3"/>
    </row>
    <row r="214" ht="15.75" customHeight="1">
      <c r="A214" s="6" t="s">
        <v>24</v>
      </c>
      <c r="B214" s="7" t="s">
        <v>25</v>
      </c>
      <c r="C214" s="7" t="s">
        <v>26</v>
      </c>
      <c r="D214" s="7" t="s">
        <v>27</v>
      </c>
      <c r="E214" s="7" t="s">
        <v>28</v>
      </c>
      <c r="F214" s="7" t="s">
        <v>29</v>
      </c>
      <c r="G214" s="7" t="s">
        <v>30</v>
      </c>
      <c r="H214" s="7" t="s">
        <v>31</v>
      </c>
    </row>
    <row r="215" ht="15.75" customHeight="1">
      <c r="A215" s="8" t="s">
        <v>14</v>
      </c>
      <c r="B215" s="36">
        <v>101.0</v>
      </c>
      <c r="C215" s="36">
        <v>36.0</v>
      </c>
      <c r="D215" s="10">
        <v>0.3564356435643564</v>
      </c>
      <c r="E215" s="12"/>
      <c r="F215" s="36">
        <v>2.0</v>
      </c>
      <c r="G215" s="37">
        <v>0.0198019801980198</v>
      </c>
      <c r="H215" s="12"/>
    </row>
    <row r="216" ht="15.75" customHeight="1">
      <c r="A216" s="8" t="s">
        <v>39</v>
      </c>
      <c r="B216" s="36">
        <v>44.0</v>
      </c>
      <c r="C216" s="36">
        <v>21.0</v>
      </c>
      <c r="D216" s="10">
        <v>0.4772727272727273</v>
      </c>
      <c r="E216" s="46">
        <v>0.8136363636363638</v>
      </c>
      <c r="F216" s="36">
        <v>2.0</v>
      </c>
      <c r="G216" s="37">
        <v>0.04545454545454546</v>
      </c>
      <c r="H216" s="46">
        <v>1.0</v>
      </c>
    </row>
    <row r="217" ht="15.75" customHeight="1">
      <c r="A217" s="8" t="s">
        <v>40</v>
      </c>
      <c r="B217" s="36">
        <v>1.0</v>
      </c>
      <c r="C217" s="36">
        <v>0.0</v>
      </c>
      <c r="D217" s="10">
        <v>0.0</v>
      </c>
      <c r="E217" s="12" t="s">
        <v>44</v>
      </c>
      <c r="F217" s="36">
        <v>0.0</v>
      </c>
      <c r="G217" s="37">
        <v>0.0</v>
      </c>
      <c r="H217" s="12" t="s">
        <v>44</v>
      </c>
    </row>
    <row r="218" ht="15.75" customHeight="1">
      <c r="A218" s="8" t="s">
        <v>34</v>
      </c>
      <c r="B218" s="36">
        <v>1.0</v>
      </c>
      <c r="C218" s="36">
        <v>0.0</v>
      </c>
      <c r="D218" s="10">
        <v>0.0</v>
      </c>
      <c r="E218" s="12" t="s">
        <v>44</v>
      </c>
      <c r="F218" s="36">
        <v>0.0</v>
      </c>
      <c r="G218" s="37">
        <v>0.0</v>
      </c>
      <c r="H218" s="12" t="s">
        <v>44</v>
      </c>
    </row>
    <row r="219" ht="15.75" customHeight="1">
      <c r="A219" s="47" t="s">
        <v>41</v>
      </c>
      <c r="B219" s="48">
        <v>57.0</v>
      </c>
      <c r="C219" s="48">
        <v>15.0</v>
      </c>
      <c r="D219" s="49">
        <v>0.2631578947368421</v>
      </c>
      <c r="E219" s="50"/>
      <c r="F219" s="48">
        <v>0.0</v>
      </c>
      <c r="G219" s="51">
        <v>0.0</v>
      </c>
      <c r="H219" s="50"/>
    </row>
    <row r="220" ht="15.75" customHeight="1"/>
    <row r="221" ht="15.75" customHeight="1">
      <c r="A221" s="45" t="s">
        <v>66</v>
      </c>
      <c r="B221" s="2"/>
      <c r="C221" s="2"/>
      <c r="D221" s="2"/>
      <c r="E221" s="2"/>
      <c r="F221" s="2"/>
      <c r="G221" s="2"/>
      <c r="H221" s="3"/>
    </row>
    <row r="222" ht="15.75" customHeight="1">
      <c r="A222" s="6" t="s">
        <v>24</v>
      </c>
      <c r="B222" s="7" t="s">
        <v>25</v>
      </c>
      <c r="C222" s="7" t="s">
        <v>26</v>
      </c>
      <c r="D222" s="7" t="s">
        <v>27</v>
      </c>
      <c r="E222" s="7" t="s">
        <v>28</v>
      </c>
      <c r="F222" s="7" t="s">
        <v>29</v>
      </c>
      <c r="G222" s="7" t="s">
        <v>30</v>
      </c>
      <c r="H222" s="7" t="s">
        <v>31</v>
      </c>
    </row>
    <row r="223" ht="15.75" customHeight="1">
      <c r="A223" s="8" t="s">
        <v>14</v>
      </c>
      <c r="B223" s="36">
        <v>83.0</v>
      </c>
      <c r="C223" s="36">
        <v>44.0</v>
      </c>
      <c r="D223" s="10">
        <v>0.5301204819277109</v>
      </c>
      <c r="E223" s="12"/>
      <c r="F223" s="36">
        <v>1.0</v>
      </c>
      <c r="G223" s="37">
        <v>0.01204819277108434</v>
      </c>
      <c r="H223" s="12"/>
    </row>
    <row r="224" ht="15.75" customHeight="1">
      <c r="A224" s="8" t="s">
        <v>39</v>
      </c>
      <c r="B224" s="36">
        <v>29.0</v>
      </c>
      <c r="C224" s="36">
        <v>17.0</v>
      </c>
      <c r="D224" s="10">
        <v>0.5862068965517241</v>
      </c>
      <c r="E224" s="46">
        <v>0.1724137931034482</v>
      </c>
      <c r="F224" s="36">
        <v>1.0</v>
      </c>
      <c r="G224" s="37">
        <v>0.03448275862068965</v>
      </c>
      <c r="H224" s="46">
        <v>1.0</v>
      </c>
    </row>
    <row r="225" ht="15.75" customHeight="1">
      <c r="A225" s="8" t="s">
        <v>40</v>
      </c>
      <c r="B225" s="36">
        <v>11.0</v>
      </c>
      <c r="C225" s="36">
        <v>7.0</v>
      </c>
      <c r="D225" s="10">
        <v>0.6363636363636364</v>
      </c>
      <c r="E225" s="46">
        <v>0.2727272727272727</v>
      </c>
      <c r="F225" s="36">
        <v>0.0</v>
      </c>
      <c r="G225" s="37">
        <v>0.0</v>
      </c>
      <c r="H225" s="12" t="s">
        <v>44</v>
      </c>
    </row>
    <row r="226" ht="15.75" customHeight="1">
      <c r="A226" s="8" t="s">
        <v>34</v>
      </c>
      <c r="B226" s="36">
        <v>9.0</v>
      </c>
      <c r="C226" s="36">
        <v>6.0</v>
      </c>
      <c r="D226" s="10">
        <v>0.6666666666666666</v>
      </c>
      <c r="E226" s="46">
        <v>0.3333333333333333</v>
      </c>
      <c r="F226" s="36">
        <v>0.0</v>
      </c>
      <c r="G226" s="37">
        <v>0.0</v>
      </c>
      <c r="H226" s="12" t="s">
        <v>44</v>
      </c>
    </row>
    <row r="227" ht="15.75" customHeight="1">
      <c r="A227" s="47" t="s">
        <v>41</v>
      </c>
      <c r="B227" s="48">
        <v>52.0</v>
      </c>
      <c r="C227" s="48">
        <v>26.0</v>
      </c>
      <c r="D227" s="49">
        <v>0.5</v>
      </c>
      <c r="E227" s="50"/>
      <c r="F227" s="48">
        <v>0.0</v>
      </c>
      <c r="G227" s="51">
        <v>0.0</v>
      </c>
      <c r="H227" s="50"/>
    </row>
    <row r="228" ht="15.75" customHeight="1"/>
    <row r="229" ht="15.75" customHeight="1">
      <c r="A229" s="45" t="s">
        <v>67</v>
      </c>
      <c r="B229" s="2"/>
      <c r="C229" s="2"/>
      <c r="D229" s="2"/>
      <c r="E229" s="2"/>
      <c r="F229" s="2"/>
      <c r="G229" s="2"/>
      <c r="H229" s="3"/>
    </row>
    <row r="230" ht="15.75" customHeight="1">
      <c r="A230" s="6" t="s">
        <v>24</v>
      </c>
      <c r="B230" s="7" t="s">
        <v>25</v>
      </c>
      <c r="C230" s="7" t="s">
        <v>26</v>
      </c>
      <c r="D230" s="7" t="s">
        <v>27</v>
      </c>
      <c r="E230" s="7" t="s">
        <v>28</v>
      </c>
      <c r="F230" s="7" t="s">
        <v>29</v>
      </c>
      <c r="G230" s="7" t="s">
        <v>30</v>
      </c>
      <c r="H230" s="7" t="s">
        <v>31</v>
      </c>
    </row>
    <row r="231" ht="15.75" customHeight="1">
      <c r="A231" s="8" t="s">
        <v>14</v>
      </c>
      <c r="B231" s="36">
        <v>89.0</v>
      </c>
      <c r="C231" s="36">
        <v>48.0</v>
      </c>
      <c r="D231" s="10">
        <v>0.5393258426966292</v>
      </c>
      <c r="E231" s="12"/>
      <c r="F231" s="36">
        <v>5.0</v>
      </c>
      <c r="G231" s="37">
        <v>0.05617977528089887</v>
      </c>
      <c r="H231" s="12"/>
    </row>
    <row r="232" ht="15.75" customHeight="1">
      <c r="A232" s="8" t="s">
        <v>39</v>
      </c>
      <c r="B232" s="36">
        <v>25.0</v>
      </c>
      <c r="C232" s="36">
        <v>17.0</v>
      </c>
      <c r="D232" s="10">
        <v>0.68</v>
      </c>
      <c r="E232" s="46">
        <v>0.4038709677419356</v>
      </c>
      <c r="F232" s="36">
        <v>3.0</v>
      </c>
      <c r="G232" s="37">
        <v>0.12</v>
      </c>
      <c r="H232" s="46">
        <v>2.84</v>
      </c>
    </row>
    <row r="233" ht="15.75" customHeight="1">
      <c r="A233" s="8" t="s">
        <v>40</v>
      </c>
      <c r="B233" s="36">
        <v>9.0</v>
      </c>
      <c r="C233" s="36">
        <v>6.0</v>
      </c>
      <c r="D233" s="10">
        <v>0.6666666666666666</v>
      </c>
      <c r="E233" s="46">
        <v>0.3763440860215053</v>
      </c>
      <c r="F233" s="36">
        <v>1.0</v>
      </c>
      <c r="G233" s="37">
        <v>0.1111111111111111</v>
      </c>
      <c r="H233" s="46">
        <v>2.555555555555555</v>
      </c>
    </row>
    <row r="234" ht="15.75" customHeight="1">
      <c r="A234" s="8" t="s">
        <v>34</v>
      </c>
      <c r="B234" s="36">
        <v>9.0</v>
      </c>
      <c r="C234" s="36">
        <v>6.0</v>
      </c>
      <c r="D234" s="10">
        <v>0.6666666666666666</v>
      </c>
      <c r="E234" s="46">
        <v>0.3763440860215053</v>
      </c>
      <c r="F234" s="36">
        <v>1.0</v>
      </c>
      <c r="G234" s="37">
        <v>0.1111111111111111</v>
      </c>
      <c r="H234" s="46">
        <v>2.555555555555555</v>
      </c>
    </row>
    <row r="235" ht="15.75" customHeight="1">
      <c r="A235" s="47" t="s">
        <v>41</v>
      </c>
      <c r="B235" s="48">
        <v>64.0</v>
      </c>
      <c r="C235" s="48">
        <v>31.0</v>
      </c>
      <c r="D235" s="49">
        <v>0.484375</v>
      </c>
      <c r="E235" s="50"/>
      <c r="F235" s="48">
        <v>2.0</v>
      </c>
      <c r="G235" s="51">
        <v>0.03125</v>
      </c>
      <c r="H235" s="50"/>
    </row>
    <row r="236" ht="15.75" customHeight="1"/>
    <row r="237" ht="15.75" customHeight="1">
      <c r="A237" s="45" t="s">
        <v>68</v>
      </c>
      <c r="B237" s="2"/>
      <c r="C237" s="2"/>
      <c r="D237" s="2"/>
      <c r="E237" s="2"/>
      <c r="F237" s="2"/>
      <c r="G237" s="2"/>
      <c r="H237" s="3"/>
    </row>
    <row r="238" ht="15.75" customHeight="1">
      <c r="A238" s="6" t="s">
        <v>24</v>
      </c>
      <c r="B238" s="7" t="s">
        <v>25</v>
      </c>
      <c r="C238" s="7" t="s">
        <v>26</v>
      </c>
      <c r="D238" s="7" t="s">
        <v>27</v>
      </c>
      <c r="E238" s="7" t="s">
        <v>28</v>
      </c>
      <c r="F238" s="7" t="s">
        <v>29</v>
      </c>
      <c r="G238" s="7" t="s">
        <v>30</v>
      </c>
      <c r="H238" s="7" t="s">
        <v>31</v>
      </c>
    </row>
    <row r="239" ht="15.75" customHeight="1">
      <c r="A239" s="8" t="s">
        <v>14</v>
      </c>
      <c r="B239" s="36">
        <v>82.0</v>
      </c>
      <c r="C239" s="36">
        <v>33.0</v>
      </c>
      <c r="D239" s="10">
        <v>0.4024390243902439</v>
      </c>
      <c r="E239" s="12"/>
      <c r="F239" s="36">
        <v>0.0</v>
      </c>
      <c r="G239" s="37">
        <v>0.0</v>
      </c>
      <c r="H239" s="12"/>
    </row>
    <row r="240" ht="15.75" customHeight="1">
      <c r="A240" s="8" t="s">
        <v>39</v>
      </c>
      <c r="B240" s="36">
        <v>25.0</v>
      </c>
      <c r="C240" s="36">
        <v>14.0</v>
      </c>
      <c r="D240" s="10">
        <v>0.56</v>
      </c>
      <c r="E240" s="46">
        <v>0.8200000000000001</v>
      </c>
      <c r="F240" s="36">
        <v>0.0</v>
      </c>
      <c r="G240" s="37">
        <v>0.0</v>
      </c>
      <c r="H240" s="12" t="s">
        <v>44</v>
      </c>
    </row>
    <row r="241" ht="15.75" customHeight="1">
      <c r="A241" s="8" t="s">
        <v>40</v>
      </c>
      <c r="B241" s="36">
        <v>18.0</v>
      </c>
      <c r="C241" s="36">
        <v>13.0</v>
      </c>
      <c r="D241" s="10">
        <v>0.7222222222222222</v>
      </c>
      <c r="E241" s="46">
        <v>1.347222222222222</v>
      </c>
      <c r="F241" s="36">
        <v>0.0</v>
      </c>
      <c r="G241" s="37">
        <v>0.0</v>
      </c>
      <c r="H241" s="12" t="s">
        <v>44</v>
      </c>
    </row>
    <row r="242" ht="15.75" customHeight="1">
      <c r="A242" s="8" t="s">
        <v>34</v>
      </c>
      <c r="B242" s="36">
        <v>13.0</v>
      </c>
      <c r="C242" s="36">
        <v>10.0</v>
      </c>
      <c r="D242" s="10">
        <v>0.7692307692307693</v>
      </c>
      <c r="E242" s="46">
        <v>1.5</v>
      </c>
      <c r="F242" s="36">
        <v>0.0</v>
      </c>
      <c r="G242" s="37">
        <v>0.0</v>
      </c>
      <c r="H242" s="12" t="s">
        <v>44</v>
      </c>
    </row>
    <row r="243" ht="15.75" customHeight="1">
      <c r="A243" s="47" t="s">
        <v>41</v>
      </c>
      <c r="B243" s="48">
        <v>52.0</v>
      </c>
      <c r="C243" s="48">
        <v>16.0</v>
      </c>
      <c r="D243" s="49">
        <v>0.3076923076923077</v>
      </c>
      <c r="E243" s="50"/>
      <c r="F243" s="48">
        <v>0.0</v>
      </c>
      <c r="G243" s="51">
        <v>0.0</v>
      </c>
      <c r="H243" s="50"/>
    </row>
    <row r="244" ht="15.75" customHeight="1"/>
    <row r="245" ht="15.75" customHeight="1">
      <c r="A245" s="45" t="s">
        <v>69</v>
      </c>
      <c r="B245" s="2"/>
      <c r="C245" s="2"/>
      <c r="D245" s="2"/>
      <c r="E245" s="2"/>
      <c r="F245" s="2"/>
      <c r="G245" s="2"/>
      <c r="H245" s="3"/>
    </row>
    <row r="246" ht="15.75" customHeight="1">
      <c r="A246" s="6" t="s">
        <v>24</v>
      </c>
      <c r="B246" s="7" t="s">
        <v>25</v>
      </c>
      <c r="C246" s="7" t="s">
        <v>26</v>
      </c>
      <c r="D246" s="7" t="s">
        <v>27</v>
      </c>
      <c r="E246" s="7" t="s">
        <v>28</v>
      </c>
      <c r="F246" s="7" t="s">
        <v>29</v>
      </c>
      <c r="G246" s="7" t="s">
        <v>30</v>
      </c>
      <c r="H246" s="7" t="s">
        <v>31</v>
      </c>
    </row>
    <row r="247" ht="15.75" customHeight="1">
      <c r="A247" s="8" t="s">
        <v>14</v>
      </c>
      <c r="B247" s="36">
        <v>82.0</v>
      </c>
      <c r="C247" s="36">
        <v>35.0</v>
      </c>
      <c r="D247" s="10">
        <v>0.4268292682926829</v>
      </c>
      <c r="E247" s="12"/>
      <c r="F247" s="36">
        <v>2.0</v>
      </c>
      <c r="G247" s="37">
        <v>0.02439024390243903</v>
      </c>
      <c r="H247" s="12"/>
    </row>
    <row r="248" ht="15.75" customHeight="1">
      <c r="A248" s="8" t="s">
        <v>39</v>
      </c>
      <c r="B248" s="36">
        <v>26.0</v>
      </c>
      <c r="C248" s="36">
        <v>11.0</v>
      </c>
      <c r="D248" s="10">
        <v>0.4230769230769231</v>
      </c>
      <c r="E248" s="46">
        <v>0.01923076923076917</v>
      </c>
      <c r="F248" s="36">
        <v>2.0</v>
      </c>
      <c r="G248" s="37">
        <v>0.07692307692307693</v>
      </c>
      <c r="H248" s="46">
        <v>1.0</v>
      </c>
    </row>
    <row r="249" ht="15.75" customHeight="1">
      <c r="A249" s="8" t="s">
        <v>40</v>
      </c>
      <c r="B249" s="36">
        <v>9.0</v>
      </c>
      <c r="C249" s="36">
        <v>5.0</v>
      </c>
      <c r="D249" s="10">
        <v>0.5555555555555556</v>
      </c>
      <c r="E249" s="46">
        <v>0.3383838383838384</v>
      </c>
      <c r="F249" s="36">
        <v>1.0</v>
      </c>
      <c r="G249" s="37">
        <v>0.1111111111111111</v>
      </c>
      <c r="H249" s="46">
        <v>1.0</v>
      </c>
    </row>
    <row r="250" ht="15.75" customHeight="1">
      <c r="A250" s="8" t="s">
        <v>34</v>
      </c>
      <c r="B250" s="36">
        <v>6.0</v>
      </c>
      <c r="C250" s="36">
        <v>3.0</v>
      </c>
      <c r="D250" s="10">
        <v>0.5</v>
      </c>
      <c r="E250" s="46">
        <v>0.2045454545454545</v>
      </c>
      <c r="F250" s="36">
        <v>1.0</v>
      </c>
      <c r="G250" s="37">
        <v>0.1666666666666667</v>
      </c>
      <c r="H250" s="46">
        <v>1.0</v>
      </c>
    </row>
    <row r="251" ht="15.75" customHeight="1">
      <c r="A251" s="47" t="s">
        <v>41</v>
      </c>
      <c r="B251" s="48">
        <v>53.0</v>
      </c>
      <c r="C251" s="48">
        <v>22.0</v>
      </c>
      <c r="D251" s="49">
        <v>0.4150943396226415</v>
      </c>
      <c r="E251" s="50"/>
      <c r="F251" s="48">
        <v>0.0</v>
      </c>
      <c r="G251" s="51">
        <v>0.0</v>
      </c>
      <c r="H251" s="50"/>
    </row>
    <row r="252" ht="15.75" customHeight="1"/>
    <row r="253" ht="15.75" customHeight="1">
      <c r="A253" s="45" t="s">
        <v>70</v>
      </c>
      <c r="B253" s="2"/>
      <c r="C253" s="2"/>
      <c r="D253" s="2"/>
      <c r="E253" s="2"/>
      <c r="F253" s="2"/>
      <c r="G253" s="2"/>
      <c r="H253" s="3"/>
    </row>
    <row r="254" ht="15.75" customHeight="1">
      <c r="A254" s="6" t="s">
        <v>24</v>
      </c>
      <c r="B254" s="7" t="s">
        <v>25</v>
      </c>
      <c r="C254" s="7" t="s">
        <v>26</v>
      </c>
      <c r="D254" s="7" t="s">
        <v>27</v>
      </c>
      <c r="E254" s="7" t="s">
        <v>28</v>
      </c>
      <c r="F254" s="7" t="s">
        <v>29</v>
      </c>
      <c r="G254" s="7" t="s">
        <v>30</v>
      </c>
      <c r="H254" s="7" t="s">
        <v>31</v>
      </c>
    </row>
    <row r="255" ht="15.75" customHeight="1">
      <c r="A255" s="8" t="s">
        <v>14</v>
      </c>
      <c r="B255" s="36">
        <v>77.0</v>
      </c>
      <c r="C255" s="36">
        <v>16.0</v>
      </c>
      <c r="D255" s="10">
        <v>0.2077922077922078</v>
      </c>
      <c r="E255" s="12"/>
      <c r="F255" s="36">
        <v>2.0</v>
      </c>
      <c r="G255" s="37">
        <v>0.02597402597402598</v>
      </c>
      <c r="H255" s="12"/>
    </row>
    <row r="256" ht="15.75" customHeight="1">
      <c r="A256" s="8" t="s">
        <v>39</v>
      </c>
      <c r="B256" s="36">
        <v>26.0</v>
      </c>
      <c r="C256" s="36">
        <v>5.0</v>
      </c>
      <c r="D256" s="10">
        <v>0.1923076923076923</v>
      </c>
      <c r="E256" s="46">
        <v>-0.1083916083916084</v>
      </c>
      <c r="F256" s="36">
        <v>1.0</v>
      </c>
      <c r="G256" s="37">
        <v>0.03846153846153846</v>
      </c>
      <c r="H256" s="46">
        <v>0.9615384615384617</v>
      </c>
    </row>
    <row r="257" ht="15.75" customHeight="1">
      <c r="A257" s="47" t="s">
        <v>41</v>
      </c>
      <c r="B257" s="48">
        <v>51.0</v>
      </c>
      <c r="C257" s="48">
        <v>11.0</v>
      </c>
      <c r="D257" s="49">
        <v>0.2156862745098039</v>
      </c>
      <c r="E257" s="50"/>
      <c r="F257" s="48">
        <v>1.0</v>
      </c>
      <c r="G257" s="51">
        <v>0.0196078431372549</v>
      </c>
      <c r="H257" s="50"/>
    </row>
    <row r="258" ht="15.75" customHeight="1"/>
    <row r="259" ht="18.0" customHeight="1">
      <c r="A259" s="4" t="s">
        <v>71</v>
      </c>
      <c r="B259" s="2"/>
      <c r="C259" s="2"/>
      <c r="D259" s="2"/>
      <c r="E259" s="2"/>
      <c r="F259" s="2"/>
      <c r="G259" s="2"/>
      <c r="H259" s="3"/>
    </row>
    <row r="260" ht="15.75" customHeight="1">
      <c r="A260" s="52" t="s">
        <v>72</v>
      </c>
      <c r="B260" s="53" t="s">
        <v>73</v>
      </c>
    </row>
    <row r="261" ht="15.75" customHeight="1"/>
    <row r="262" ht="15.75" customHeight="1"/>
    <row r="263" ht="15.75" customHeight="1">
      <c r="A263" s="52" t="s">
        <v>74</v>
      </c>
      <c r="B263" s="53" t="s">
        <v>75</v>
      </c>
    </row>
    <row r="264" ht="15.75" customHeight="1"/>
    <row r="265" ht="15.75" customHeight="1"/>
    <row r="266" ht="15.75" customHeight="1">
      <c r="A266" s="52" t="s">
        <v>25</v>
      </c>
      <c r="B266" s="53" t="s">
        <v>76</v>
      </c>
    </row>
    <row r="267" ht="15.75" customHeight="1"/>
    <row r="268" ht="15.75" customHeight="1"/>
    <row r="269" ht="15.75" customHeight="1">
      <c r="A269" s="52" t="s">
        <v>77</v>
      </c>
      <c r="B269" s="53" t="s">
        <v>78</v>
      </c>
    </row>
    <row r="270" ht="15.75" customHeight="1"/>
    <row r="271" ht="15.75" customHeight="1"/>
    <row r="272" ht="15.75" customHeight="1">
      <c r="A272" s="52" t="s">
        <v>29</v>
      </c>
      <c r="B272" s="53" t="s">
        <v>79</v>
      </c>
    </row>
    <row r="273" ht="15.75" customHeight="1"/>
    <row r="274" ht="15.75" customHeight="1"/>
    <row r="275" ht="15.75" customHeight="1">
      <c r="A275" s="52" t="s">
        <v>80</v>
      </c>
      <c r="B275" s="53" t="s">
        <v>81</v>
      </c>
    </row>
    <row r="276" ht="15.75" customHeight="1"/>
    <row r="277" ht="15.75" customHeight="1"/>
    <row r="278" ht="15.75" customHeight="1">
      <c r="A278" s="52" t="s">
        <v>82</v>
      </c>
      <c r="B278" s="53" t="s">
        <v>83</v>
      </c>
    </row>
    <row r="279" ht="15.75" customHeight="1"/>
    <row r="280" ht="15.75" customHeight="1"/>
    <row r="281" ht="15.75" customHeight="1">
      <c r="A281" s="52" t="s">
        <v>84</v>
      </c>
      <c r="B281" s="53" t="s">
        <v>85</v>
      </c>
    </row>
    <row r="282" ht="15.75" customHeight="1"/>
    <row r="283" ht="15.75" customHeight="1"/>
    <row r="284" ht="15.75" customHeight="1">
      <c r="A284" s="52" t="s">
        <v>86</v>
      </c>
      <c r="B284" s="53" t="s">
        <v>87</v>
      </c>
    </row>
    <row r="285" ht="15.75" customHeight="1"/>
    <row r="286" ht="15.75" customHeight="1"/>
    <row r="287" ht="15.75" customHeight="1">
      <c r="A287" s="52" t="s">
        <v>88</v>
      </c>
      <c r="B287" s="53" t="s">
        <v>89</v>
      </c>
    </row>
    <row r="288" ht="15.75" customHeight="1"/>
    <row r="289" ht="15.75" customHeight="1"/>
    <row r="290" ht="15.75" customHeight="1">
      <c r="A290" s="52" t="s">
        <v>90</v>
      </c>
      <c r="B290" s="53" t="s">
        <v>91</v>
      </c>
    </row>
    <row r="291" ht="15.75" customHeight="1"/>
    <row r="292" ht="15.75" customHeight="1"/>
    <row r="293" ht="15.75" customHeight="1">
      <c r="A293" s="52" t="s">
        <v>92</v>
      </c>
      <c r="B293" s="53" t="s">
        <v>93</v>
      </c>
    </row>
    <row r="294" ht="15.75" customHeight="1"/>
    <row r="295" ht="15.75" customHeight="1"/>
    <row r="296" ht="15.75" customHeight="1">
      <c r="A296" s="54" t="s">
        <v>94</v>
      </c>
      <c r="B296" s="21" t="s">
        <v>95</v>
      </c>
      <c r="C296" s="22"/>
      <c r="D296" s="22"/>
      <c r="E296" s="22"/>
      <c r="F296" s="22"/>
      <c r="G296" s="22"/>
      <c r="H296" s="23"/>
    </row>
    <row r="297" ht="15.75" customHeight="1">
      <c r="B297" s="27"/>
      <c r="C297" s="28"/>
      <c r="D297" s="28"/>
      <c r="E297" s="28"/>
      <c r="F297" s="28"/>
      <c r="G297" s="28"/>
      <c r="H297" s="30"/>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5">
    <mergeCell ref="A245:H245"/>
    <mergeCell ref="A253:H253"/>
    <mergeCell ref="A259:H259"/>
    <mergeCell ref="B260:H261"/>
    <mergeCell ref="B263:H264"/>
    <mergeCell ref="B266:H267"/>
    <mergeCell ref="B269:H270"/>
    <mergeCell ref="B293:H294"/>
    <mergeCell ref="B296:H297"/>
    <mergeCell ref="B272:H273"/>
    <mergeCell ref="B275:H276"/>
    <mergeCell ref="B278:H279"/>
    <mergeCell ref="B281:H282"/>
    <mergeCell ref="B284:H285"/>
    <mergeCell ref="B287:H288"/>
    <mergeCell ref="B290:H291"/>
    <mergeCell ref="A1:H1"/>
    <mergeCell ref="A2:H2"/>
    <mergeCell ref="A4:H4"/>
    <mergeCell ref="A5:C5"/>
    <mergeCell ref="D5:E5"/>
    <mergeCell ref="A6:C6"/>
    <mergeCell ref="D6:E6"/>
    <mergeCell ref="A7:C7"/>
    <mergeCell ref="D7:E7"/>
    <mergeCell ref="A8:C8"/>
    <mergeCell ref="D8:E8"/>
    <mergeCell ref="A9:C9"/>
    <mergeCell ref="D9:E9"/>
    <mergeCell ref="D10:E10"/>
    <mergeCell ref="A10:C10"/>
    <mergeCell ref="A11:C11"/>
    <mergeCell ref="D11:E11"/>
    <mergeCell ref="A12:C12"/>
    <mergeCell ref="D12:E12"/>
    <mergeCell ref="A14:H14"/>
    <mergeCell ref="A22:H26"/>
    <mergeCell ref="A28:H28"/>
    <mergeCell ref="A29:H29"/>
    <mergeCell ref="A37:H37"/>
    <mergeCell ref="A45:H45"/>
    <mergeCell ref="A53:H53"/>
    <mergeCell ref="A61:H61"/>
    <mergeCell ref="A69:H69"/>
    <mergeCell ref="A77:H77"/>
    <mergeCell ref="A85:H85"/>
    <mergeCell ref="A93:H93"/>
    <mergeCell ref="A101:H101"/>
    <mergeCell ref="A109:H109"/>
    <mergeCell ref="A117:H117"/>
    <mergeCell ref="A125:H125"/>
    <mergeCell ref="A133:H133"/>
    <mergeCell ref="A141:H141"/>
    <mergeCell ref="A149:H149"/>
    <mergeCell ref="A157:H157"/>
    <mergeCell ref="A165:H165"/>
    <mergeCell ref="A173:H173"/>
    <mergeCell ref="A181:H181"/>
    <mergeCell ref="A189:H189"/>
    <mergeCell ref="A197:H197"/>
    <mergeCell ref="A205:H205"/>
    <mergeCell ref="A213:H213"/>
    <mergeCell ref="A221:H221"/>
    <mergeCell ref="A229:H229"/>
    <mergeCell ref="A237:H237"/>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2026-08-15T05:29:41Z</dcterms:created>
  <dc:creator>openpyxl</dc:creator>
</cp:coreProperties>
</file>